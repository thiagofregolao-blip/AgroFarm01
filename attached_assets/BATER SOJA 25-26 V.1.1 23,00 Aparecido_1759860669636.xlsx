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hiag\Downloads\"/>
    </mc:Choice>
  </mc:AlternateContent>
  <xr:revisionPtr revIDLastSave="0" documentId="13_ncr:1_{DC8AC20E-E9B7-467F-B2EC-5F48C3B31941}" xr6:coauthVersionLast="47" xr6:coauthVersionMax="47" xr10:uidLastSave="{00000000-0000-0000-0000-000000000000}"/>
  <workbookProtection workbookAlgorithmName="SHA-512" workbookHashValue="8MDssOuB00mO6MKxpwaCIr65MQrPCIWzB5nGnhlhrJMXQGTlV/yEYrMAid/xhpI+JL1A2gdLC7DbMK39zu2a0g==" workbookSaltValue="HzNBxlkRaLdvv+SQReLAXQ==" workbookSpinCount="100000" lockStructure="1"/>
  <bookViews>
    <workbookView xWindow="-120" yWindow="-120" windowWidth="20730" windowHeight="11040" tabRatio="500" firstSheet="3" activeTab="3" xr2:uid="{00000000-000D-0000-FFFF-FFFF00000000}"/>
  </bookViews>
  <sheets>
    <sheet name="Fertilizante" sheetId="1" state="hidden" r:id="rId1"/>
    <sheet name="Sementes" sheetId="2" state="hidden" r:id="rId2"/>
    <sheet name="Precos" sheetId="3" state="hidden" r:id="rId3"/>
    <sheet name="Pacot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0" i="4" l="1"/>
  <c r="J34" i="4"/>
  <c r="J33" i="4"/>
  <c r="J32" i="4"/>
  <c r="J31" i="4"/>
  <c r="I34" i="4"/>
  <c r="I33" i="4"/>
  <c r="I32" i="4"/>
  <c r="I31" i="4"/>
  <c r="G34" i="4"/>
  <c r="G33" i="4"/>
  <c r="I6" i="3"/>
  <c r="I8" i="3"/>
  <c r="I10" i="3"/>
  <c r="I12" i="3"/>
  <c r="I14" i="3"/>
  <c r="I16" i="3"/>
  <c r="I18" i="3"/>
  <c r="I20" i="3"/>
  <c r="I22" i="3"/>
  <c r="G6" i="3"/>
  <c r="L6" i="3" s="1"/>
  <c r="G8" i="3"/>
  <c r="J8" i="3" s="1"/>
  <c r="G10" i="3"/>
  <c r="J10" i="3" s="1"/>
  <c r="G12" i="3"/>
  <c r="J12" i="3" s="1"/>
  <c r="G14" i="3"/>
  <c r="G16" i="3"/>
  <c r="J16" i="3" s="1"/>
  <c r="G18" i="3"/>
  <c r="G20" i="3"/>
  <c r="J20" i="3" s="1"/>
  <c r="G22" i="3"/>
  <c r="J22" i="3" s="1"/>
  <c r="J14" i="3" l="1"/>
  <c r="J18" i="3"/>
  <c r="L22" i="3"/>
  <c r="L20" i="3"/>
  <c r="L18" i="3"/>
  <c r="L16" i="3"/>
  <c r="L14" i="3"/>
  <c r="L12" i="3"/>
  <c r="L10" i="3"/>
  <c r="L8" i="3"/>
  <c r="J6" i="3"/>
  <c r="G27" i="3" l="1"/>
  <c r="L27" i="3" s="1"/>
  <c r="G40" i="3"/>
  <c r="L40" i="3" s="1"/>
  <c r="I53" i="3"/>
  <c r="G53" i="3"/>
  <c r="L53" i="3" s="1"/>
  <c r="I50" i="3"/>
  <c r="G50" i="3"/>
  <c r="L50" i="3" s="1"/>
  <c r="I58" i="3"/>
  <c r="I33" i="3"/>
  <c r="G33" i="3"/>
  <c r="L33" i="3" s="1"/>
  <c r="I77" i="3"/>
  <c r="G77" i="3"/>
  <c r="I48" i="3"/>
  <c r="I49" i="3"/>
  <c r="I51" i="3"/>
  <c r="I52" i="3"/>
  <c r="I54" i="3"/>
  <c r="I55" i="3"/>
  <c r="I56" i="3"/>
  <c r="G48" i="3"/>
  <c r="G28" i="3"/>
  <c r="L28" i="3" s="1"/>
  <c r="G54" i="3"/>
  <c r="L54" i="3" s="1"/>
  <c r="G58" i="3"/>
  <c r="L58" i="3" s="1"/>
  <c r="G52" i="3"/>
  <c r="L52" i="3" s="1"/>
  <c r="G36" i="3"/>
  <c r="L36" i="3" s="1"/>
  <c r="L5" i="3"/>
  <c r="I9" i="3"/>
  <c r="I13" i="3"/>
  <c r="G9" i="3"/>
  <c r="G13" i="3"/>
  <c r="I43" i="4"/>
  <c r="G48" i="4"/>
  <c r="G49" i="3"/>
  <c r="L49" i="3" s="1"/>
  <c r="I43" i="3"/>
  <c r="G43" i="3"/>
  <c r="L43" i="3" s="1"/>
  <c r="I34" i="3"/>
  <c r="G34" i="3"/>
  <c r="L34" i="3" s="1"/>
  <c r="G68" i="4"/>
  <c r="I37" i="3"/>
  <c r="G37" i="3"/>
  <c r="L37" i="3" s="1"/>
  <c r="N25" i="4"/>
  <c r="N26" i="4"/>
  <c r="N27" i="4"/>
  <c r="N28" i="4"/>
  <c r="N29" i="4"/>
  <c r="N24" i="4"/>
  <c r="K25" i="4"/>
  <c r="K26" i="4"/>
  <c r="K27" i="4"/>
  <c r="K28" i="4"/>
  <c r="K29" i="4"/>
  <c r="J25" i="4"/>
  <c r="J26" i="4"/>
  <c r="J27" i="4"/>
  <c r="J28" i="4"/>
  <c r="J29" i="4"/>
  <c r="J24" i="4"/>
  <c r="I25" i="4"/>
  <c r="I26" i="4"/>
  <c r="I27" i="4"/>
  <c r="I28" i="4"/>
  <c r="I29" i="4"/>
  <c r="I24" i="4"/>
  <c r="N32" i="4"/>
  <c r="N33" i="4"/>
  <c r="N34" i="4"/>
  <c r="N31" i="4"/>
  <c r="K31" i="4"/>
  <c r="G31" i="4" s="1"/>
  <c r="K32" i="4"/>
  <c r="G32" i="4" s="1"/>
  <c r="K33" i="4"/>
  <c r="K34" i="4"/>
  <c r="H32" i="4"/>
  <c r="H34" i="4"/>
  <c r="H31" i="4"/>
  <c r="I19" i="3"/>
  <c r="G23" i="3"/>
  <c r="L23" i="3" s="1"/>
  <c r="G19" i="3"/>
  <c r="L19" i="3" s="1"/>
  <c r="G7" i="3"/>
  <c r="L7" i="3" s="1"/>
  <c r="G11" i="3"/>
  <c r="L11" i="3" s="1"/>
  <c r="G15" i="3"/>
  <c r="L15" i="3" s="1"/>
  <c r="G17" i="3"/>
  <c r="L17" i="3" s="1"/>
  <c r="J28" i="3" l="1"/>
  <c r="J27" i="3"/>
  <c r="J33" i="3"/>
  <c r="J53" i="3"/>
  <c r="J50" i="3"/>
  <c r="J48" i="3"/>
  <c r="J77" i="3"/>
  <c r="J58" i="3"/>
  <c r="L77" i="3"/>
  <c r="J54" i="3"/>
  <c r="L48" i="3"/>
  <c r="J52" i="3"/>
  <c r="J49" i="3"/>
  <c r="J9" i="3"/>
  <c r="J13" i="3"/>
  <c r="L13" i="3"/>
  <c r="L9" i="3"/>
  <c r="J43" i="3"/>
  <c r="J34" i="3"/>
  <c r="J37" i="3"/>
  <c r="L33" i="4"/>
  <c r="O33" i="4" s="1"/>
  <c r="J19" i="3"/>
  <c r="H33" i="4"/>
  <c r="M34" i="4"/>
  <c r="M33" i="4"/>
  <c r="M32" i="4"/>
  <c r="L31" i="4"/>
  <c r="O31" i="4" s="1"/>
  <c r="L34" i="4"/>
  <c r="O34" i="4" s="1"/>
  <c r="L32" i="4"/>
  <c r="O32" i="4" s="1"/>
  <c r="M31" i="4"/>
  <c r="J50" i="4" l="1"/>
  <c r="G26" i="4"/>
  <c r="G27" i="4"/>
  <c r="P14" i="4"/>
  <c r="Q14" i="4"/>
  <c r="R14" i="4"/>
  <c r="S14" i="4"/>
  <c r="T14" i="4"/>
  <c r="U14" i="4"/>
  <c r="V14" i="4"/>
  <c r="W14" i="4"/>
  <c r="X14" i="4"/>
  <c r="L27" i="4" l="1"/>
  <c r="O27" i="4" s="1"/>
  <c r="M27" i="4"/>
  <c r="L26" i="4"/>
  <c r="O26" i="4" s="1"/>
  <c r="M26" i="4"/>
  <c r="G28" i="4"/>
  <c r="G29" i="4"/>
  <c r="G25" i="4"/>
  <c r="H25" i="4"/>
  <c r="H24" i="4"/>
  <c r="K24" i="4"/>
  <c r="G24" i="4" s="1"/>
  <c r="I2" i="3"/>
  <c r="I3" i="3"/>
  <c r="I4" i="3"/>
  <c r="I21" i="3"/>
  <c r="I23" i="3"/>
  <c r="J23" i="3" s="1"/>
  <c r="I7" i="3"/>
  <c r="J7" i="3" s="1"/>
  <c r="I11" i="3"/>
  <c r="J11" i="3" s="1"/>
  <c r="I15" i="3"/>
  <c r="I17" i="3"/>
  <c r="G2" i="3"/>
  <c r="L2" i="3" s="1"/>
  <c r="G3" i="3"/>
  <c r="L3" i="3" s="1"/>
  <c r="G4" i="3"/>
  <c r="L4" i="3" s="1"/>
  <c r="G21" i="3"/>
  <c r="L21" i="3" s="1"/>
  <c r="N69" i="4"/>
  <c r="K69" i="4"/>
  <c r="G69" i="4" s="1"/>
  <c r="J69" i="4"/>
  <c r="I69" i="4"/>
  <c r="H69" i="4" s="1"/>
  <c r="N68" i="4"/>
  <c r="K68" i="4"/>
  <c r="J68" i="4"/>
  <c r="I68" i="4"/>
  <c r="H68" i="4" s="1"/>
  <c r="N67" i="4"/>
  <c r="K67" i="4"/>
  <c r="G67" i="4" s="1"/>
  <c r="J67" i="4"/>
  <c r="I67" i="4"/>
  <c r="H67" i="4" s="1"/>
  <c r="N66" i="4"/>
  <c r="K66" i="4"/>
  <c r="G66" i="4" s="1"/>
  <c r="J66" i="4"/>
  <c r="I66" i="4"/>
  <c r="H66" i="4" s="1"/>
  <c r="N65" i="4"/>
  <c r="K65" i="4"/>
  <c r="G65" i="4" s="1"/>
  <c r="J65" i="4"/>
  <c r="I65" i="4"/>
  <c r="N64" i="4"/>
  <c r="K64" i="4"/>
  <c r="G64" i="4" s="1"/>
  <c r="J64" i="4"/>
  <c r="I64" i="4"/>
  <c r="H64" i="4" s="1"/>
  <c r="N62" i="4"/>
  <c r="K62" i="4"/>
  <c r="J62" i="4"/>
  <c r="I62" i="4"/>
  <c r="H62" i="4" s="1"/>
  <c r="G62" i="4"/>
  <c r="N61" i="4"/>
  <c r="K61" i="4"/>
  <c r="G61" i="4" s="1"/>
  <c r="J61" i="4"/>
  <c r="I61" i="4"/>
  <c r="N60" i="4"/>
  <c r="K60" i="4"/>
  <c r="G60" i="4" s="1"/>
  <c r="J60" i="4"/>
  <c r="I60" i="4"/>
  <c r="H60" i="4" s="1"/>
  <c r="N59" i="4"/>
  <c r="K59" i="4"/>
  <c r="G59" i="4" s="1"/>
  <c r="J59" i="4"/>
  <c r="I59" i="4"/>
  <c r="H59" i="4" s="1"/>
  <c r="N58" i="4"/>
  <c r="K58" i="4"/>
  <c r="G58" i="4" s="1"/>
  <c r="J58" i="4"/>
  <c r="I58" i="4"/>
  <c r="H58" i="4" s="1"/>
  <c r="N57" i="4"/>
  <c r="K57" i="4"/>
  <c r="G57" i="4" s="1"/>
  <c r="J57" i="4"/>
  <c r="I57" i="4"/>
  <c r="H57" i="4" s="1"/>
  <c r="N55" i="4"/>
  <c r="K55" i="4"/>
  <c r="J55" i="4"/>
  <c r="I55" i="4"/>
  <c r="H55" i="4" s="1"/>
  <c r="G55" i="4"/>
  <c r="N54" i="4"/>
  <c r="K54" i="4"/>
  <c r="J54" i="4"/>
  <c r="I54" i="4"/>
  <c r="H54" i="4" s="1"/>
  <c r="G54" i="4"/>
  <c r="N53" i="4"/>
  <c r="K53" i="4"/>
  <c r="G53" i="4" s="1"/>
  <c r="J53" i="4"/>
  <c r="I53" i="4"/>
  <c r="H53" i="4" s="1"/>
  <c r="N52" i="4"/>
  <c r="K52" i="4"/>
  <c r="G52" i="4" s="1"/>
  <c r="J52" i="4"/>
  <c r="I52" i="4"/>
  <c r="H52" i="4" s="1"/>
  <c r="N51" i="4"/>
  <c r="K51" i="4"/>
  <c r="G51" i="4" s="1"/>
  <c r="J51" i="4"/>
  <c r="I51" i="4"/>
  <c r="H51" i="4" s="1"/>
  <c r="N50" i="4"/>
  <c r="K50" i="4"/>
  <c r="G50" i="4" s="1"/>
  <c r="I50" i="4"/>
  <c r="H50" i="4" s="1"/>
  <c r="N48" i="4"/>
  <c r="K48" i="4"/>
  <c r="J48" i="4"/>
  <c r="I48" i="4"/>
  <c r="H48" i="4" s="1"/>
  <c r="N47" i="4"/>
  <c r="K47" i="4"/>
  <c r="G47" i="4" s="1"/>
  <c r="J47" i="4"/>
  <c r="I47" i="4"/>
  <c r="H47" i="4" s="1"/>
  <c r="N46" i="4"/>
  <c r="K46" i="4"/>
  <c r="G46" i="4" s="1"/>
  <c r="J46" i="4"/>
  <c r="I46" i="4"/>
  <c r="H46" i="4" s="1"/>
  <c r="N45" i="4"/>
  <c r="K45" i="4"/>
  <c r="G45" i="4" s="1"/>
  <c r="J45" i="4"/>
  <c r="I45" i="4"/>
  <c r="H45" i="4" s="1"/>
  <c r="N44" i="4"/>
  <c r="K44" i="4"/>
  <c r="G44" i="4" s="1"/>
  <c r="J44" i="4"/>
  <c r="I44" i="4"/>
  <c r="H44" i="4" s="1"/>
  <c r="N43" i="4"/>
  <c r="K43" i="4"/>
  <c r="G43" i="4" s="1"/>
  <c r="J43" i="4"/>
  <c r="H43" i="4"/>
  <c r="N41" i="4"/>
  <c r="K41" i="4"/>
  <c r="J41" i="4"/>
  <c r="I41" i="4"/>
  <c r="H41" i="4" s="1"/>
  <c r="G41" i="4"/>
  <c r="N40" i="4"/>
  <c r="K40" i="4"/>
  <c r="G40" i="4" s="1"/>
  <c r="I40" i="4"/>
  <c r="H40" i="4" s="1"/>
  <c r="N39" i="4"/>
  <c r="K39" i="4"/>
  <c r="G39" i="4" s="1"/>
  <c r="J39" i="4"/>
  <c r="I39" i="4"/>
  <c r="H39" i="4" s="1"/>
  <c r="N38" i="4"/>
  <c r="K38" i="4"/>
  <c r="G38" i="4" s="1"/>
  <c r="J38" i="4"/>
  <c r="I38" i="4"/>
  <c r="H38" i="4" s="1"/>
  <c r="N37" i="4"/>
  <c r="K37" i="4"/>
  <c r="G37" i="4" s="1"/>
  <c r="J37" i="4"/>
  <c r="I37" i="4"/>
  <c r="H37" i="4" s="1"/>
  <c r="N36" i="4"/>
  <c r="K36" i="4"/>
  <c r="G36" i="4" s="1"/>
  <c r="J36" i="4"/>
  <c r="I36" i="4"/>
  <c r="H36" i="4" s="1"/>
  <c r="I80" i="3"/>
  <c r="G80" i="3"/>
  <c r="L80" i="3" s="1"/>
  <c r="I79" i="3"/>
  <c r="G79" i="3"/>
  <c r="L79" i="3" s="1"/>
  <c r="I78" i="3"/>
  <c r="G78" i="3"/>
  <c r="L78" i="3" s="1"/>
  <c r="I76" i="3"/>
  <c r="G76" i="3"/>
  <c r="L76" i="3" s="1"/>
  <c r="I75" i="3"/>
  <c r="G75" i="3"/>
  <c r="L75" i="3" s="1"/>
  <c r="I74" i="3"/>
  <c r="G74" i="3"/>
  <c r="L74" i="3" s="1"/>
  <c r="I73" i="3"/>
  <c r="G73" i="3"/>
  <c r="L73" i="3" s="1"/>
  <c r="I72" i="3"/>
  <c r="G72" i="3"/>
  <c r="L72" i="3" s="1"/>
  <c r="I71" i="3"/>
  <c r="G71" i="3"/>
  <c r="L71" i="3" s="1"/>
  <c r="I70" i="3"/>
  <c r="G70" i="3"/>
  <c r="L70" i="3" s="1"/>
  <c r="I69" i="3"/>
  <c r="G69" i="3"/>
  <c r="L69" i="3" s="1"/>
  <c r="I68" i="3"/>
  <c r="G68" i="3"/>
  <c r="L68" i="3" s="1"/>
  <c r="I66" i="3"/>
  <c r="G66" i="3"/>
  <c r="L66" i="3" s="1"/>
  <c r="I65" i="3"/>
  <c r="G65" i="3"/>
  <c r="L65" i="3" s="1"/>
  <c r="I63" i="3"/>
  <c r="G63" i="3"/>
  <c r="L63" i="3" s="1"/>
  <c r="I62" i="3"/>
  <c r="G62" i="3"/>
  <c r="L62" i="3" s="1"/>
  <c r="I61" i="3"/>
  <c r="G61" i="3"/>
  <c r="L61" i="3" s="1"/>
  <c r="I60" i="3"/>
  <c r="G60" i="3"/>
  <c r="L60" i="3" s="1"/>
  <c r="I59" i="3"/>
  <c r="G59" i="3"/>
  <c r="L59" i="3" s="1"/>
  <c r="I64" i="3"/>
  <c r="G64" i="3"/>
  <c r="L64" i="3" s="1"/>
  <c r="G56" i="3"/>
  <c r="G55" i="3"/>
  <c r="G51" i="3"/>
  <c r="I47" i="3"/>
  <c r="G47" i="3"/>
  <c r="L47" i="3" s="1"/>
  <c r="I46" i="3"/>
  <c r="G46" i="3"/>
  <c r="L46" i="3" s="1"/>
  <c r="I45" i="3"/>
  <c r="G45" i="3"/>
  <c r="L45" i="3" s="1"/>
  <c r="I42" i="3"/>
  <c r="G42" i="3"/>
  <c r="L42" i="3" s="1"/>
  <c r="I41" i="3"/>
  <c r="G41" i="3"/>
  <c r="L41" i="3" s="1"/>
  <c r="I39" i="3"/>
  <c r="G39" i="3"/>
  <c r="L39" i="3" s="1"/>
  <c r="I38" i="3"/>
  <c r="G38" i="3"/>
  <c r="L38" i="3" s="1"/>
  <c r="I32" i="3"/>
  <c r="G32" i="3"/>
  <c r="L32" i="3" s="1"/>
  <c r="I31" i="3"/>
  <c r="G31" i="3"/>
  <c r="L31" i="3" s="1"/>
  <c r="I30" i="3"/>
  <c r="G30" i="3"/>
  <c r="L30" i="3" s="1"/>
  <c r="I26" i="3"/>
  <c r="G26" i="3"/>
  <c r="L26" i="3" s="1"/>
  <c r="I29" i="3"/>
  <c r="G29" i="3"/>
  <c r="L29" i="3" s="1"/>
  <c r="I25" i="3"/>
  <c r="G25" i="3"/>
  <c r="L25" i="3" s="1"/>
  <c r="L51" i="3" l="1"/>
  <c r="J51" i="3"/>
  <c r="L56" i="3"/>
  <c r="J56" i="3"/>
  <c r="L55" i="3"/>
  <c r="J55" i="3"/>
  <c r="J3" i="3"/>
  <c r="J21" i="3"/>
  <c r="M29" i="4"/>
  <c r="L29" i="4"/>
  <c r="O29" i="4" s="1"/>
  <c r="M28" i="4"/>
  <c r="L28" i="4"/>
  <c r="O28" i="4" s="1"/>
  <c r="M25" i="4"/>
  <c r="L25" i="4"/>
  <c r="J17" i="3"/>
  <c r="J15" i="3"/>
  <c r="J46" i="3"/>
  <c r="J25" i="3"/>
  <c r="J4" i="3"/>
  <c r="J2" i="3"/>
  <c r="H26" i="4"/>
  <c r="L48" i="4"/>
  <c r="O48" i="4" s="1"/>
  <c r="L24" i="4"/>
  <c r="H28" i="4"/>
  <c r="H29" i="4"/>
  <c r="H27" i="4"/>
  <c r="M24" i="4"/>
  <c r="M54" i="4"/>
  <c r="L47" i="4"/>
  <c r="O47" i="4" s="1"/>
  <c r="M45" i="4"/>
  <c r="M36" i="4"/>
  <c r="M66" i="4"/>
  <c r="M51" i="4"/>
  <c r="M41" i="4"/>
  <c r="L40" i="4"/>
  <c r="O40" i="4" s="1"/>
  <c r="L46" i="4"/>
  <c r="O46" i="4" s="1"/>
  <c r="M38" i="4"/>
  <c r="L61" i="4"/>
  <c r="O61" i="4" s="1"/>
  <c r="J26" i="3"/>
  <c r="M60" i="4"/>
  <c r="J66" i="3"/>
  <c r="J78" i="3"/>
  <c r="J73" i="3"/>
  <c r="M37" i="4"/>
  <c r="M46" i="4"/>
  <c r="M48" i="4"/>
  <c r="M61" i="4"/>
  <c r="M65" i="4"/>
  <c r="J31" i="3"/>
  <c r="J59" i="3"/>
  <c r="J75" i="3"/>
  <c r="M44" i="4"/>
  <c r="M55" i="4"/>
  <c r="H61" i="4"/>
  <c r="L38" i="4"/>
  <c r="O38" i="4" s="1"/>
  <c r="M47" i="4"/>
  <c r="L65" i="4"/>
  <c r="O65" i="4" s="1"/>
  <c r="J80" i="3"/>
  <c r="M53" i="4"/>
  <c r="L60" i="4"/>
  <c r="O60" i="4" s="1"/>
  <c r="J61" i="3"/>
  <c r="J47" i="3"/>
  <c r="L66" i="4"/>
  <c r="O66" i="4" s="1"/>
  <c r="J30" i="3"/>
  <c r="M52" i="4"/>
  <c r="J29" i="3"/>
  <c r="M62" i="4"/>
  <c r="J45" i="3"/>
  <c r="J63" i="3"/>
  <c r="J71" i="3"/>
  <c r="L52" i="4"/>
  <c r="O52" i="4" s="1"/>
  <c r="L55" i="4"/>
  <c r="O55" i="4" s="1"/>
  <c r="J69" i="3"/>
  <c r="J32" i="3"/>
  <c r="M40" i="4"/>
  <c r="L37" i="4"/>
  <c r="M69" i="4"/>
  <c r="M39" i="4"/>
  <c r="L39" i="4"/>
  <c r="O39" i="4" s="1"/>
  <c r="M43" i="4"/>
  <c r="L43" i="4"/>
  <c r="O43" i="4" s="1"/>
  <c r="L57" i="4"/>
  <c r="O57" i="4" s="1"/>
  <c r="M57" i="4"/>
  <c r="M59" i="4"/>
  <c r="L59" i="4"/>
  <c r="O59" i="4" s="1"/>
  <c r="M58" i="4"/>
  <c r="L58" i="4"/>
  <c r="O58" i="4" s="1"/>
  <c r="M68" i="4"/>
  <c r="L68" i="4"/>
  <c r="O68" i="4" s="1"/>
  <c r="L67" i="4"/>
  <c r="O67" i="4" s="1"/>
  <c r="M67" i="4"/>
  <c r="M50" i="4"/>
  <c r="L50" i="4"/>
  <c r="O50" i="4" s="1"/>
  <c r="G71" i="4"/>
  <c r="J41" i="3"/>
  <c r="J64" i="3"/>
  <c r="J60" i="3"/>
  <c r="J62" i="3"/>
  <c r="J65" i="3"/>
  <c r="L41" i="4"/>
  <c r="O41" i="4" s="1"/>
  <c r="L51" i="4"/>
  <c r="O51" i="4" s="1"/>
  <c r="H65" i="4"/>
  <c r="L69" i="4"/>
  <c r="O69" i="4" s="1"/>
  <c r="J68" i="3"/>
  <c r="J70" i="3"/>
  <c r="J72" i="3"/>
  <c r="J74" i="3"/>
  <c r="J76" i="3"/>
  <c r="J79" i="3"/>
  <c r="L44" i="4"/>
  <c r="O44" i="4" s="1"/>
  <c r="L53" i="4"/>
  <c r="O53" i="4" s="1"/>
  <c r="L62" i="4"/>
  <c r="O62" i="4" s="1"/>
  <c r="J38" i="3"/>
  <c r="L36" i="4"/>
  <c r="L45" i="4"/>
  <c r="O45" i="4" s="1"/>
  <c r="L54" i="4"/>
  <c r="O54" i="4" s="1"/>
  <c r="L64" i="4"/>
  <c r="O64" i="4" s="1"/>
  <c r="J39" i="3"/>
  <c r="J42" i="3"/>
  <c r="M64" i="4"/>
  <c r="O36" i="4" l="1"/>
  <c r="G6" i="4"/>
  <c r="O37" i="4"/>
  <c r="O25" i="4"/>
  <c r="G10" i="4"/>
  <c r="O24" i="4"/>
  <c r="O20" i="4" l="1"/>
  <c r="C21" i="4" s="1"/>
  <c r="G11" i="4"/>
  <c r="H12" i="4" s="1"/>
  <c r="G15" i="4" l="1"/>
  <c r="G16" i="4" s="1"/>
  <c r="H16" i="4" l="1"/>
  <c r="H18" i="4" s="1"/>
  <c r="G19" i="4"/>
  <c r="G13" i="4"/>
  <c r="G17" i="4" s="1"/>
  <c r="G18" i="4" s="1"/>
  <c r="G4" i="4" s="1"/>
  <c r="H6" i="4"/>
  <c r="G5" i="4" l="1"/>
  <c r="G7" i="4" s="1"/>
</calcChain>
</file>

<file path=xl/sharedStrings.xml><?xml version="1.0" encoding="utf-8"?>
<sst xmlns="http://schemas.openxmlformats.org/spreadsheetml/2006/main" count="360" uniqueCount="186">
  <si>
    <t>PRODUTO</t>
  </si>
  <si>
    <t xml:space="preserve">DOSE/HÁ </t>
  </si>
  <si>
    <t>PREÇO</t>
  </si>
  <si>
    <t>Embalagem</t>
  </si>
  <si>
    <t>00-19-00</t>
  </si>
  <si>
    <t xml:space="preserve">FERTILIZANTE </t>
  </si>
  <si>
    <t>00-32-00</t>
  </si>
  <si>
    <t>02-20-20</t>
  </si>
  <si>
    <t>04-30-10</t>
  </si>
  <si>
    <t>05-25-25</t>
  </si>
  <si>
    <t>06-30-06</t>
  </si>
  <si>
    <t>08-20-10</t>
  </si>
  <si>
    <t>KCL</t>
  </si>
  <si>
    <t>SEM SOJA 63I64RSF IPRO  S/T - (5,5)</t>
  </si>
  <si>
    <t>SEMENTE</t>
  </si>
  <si>
    <t>SEM SOJA 63I64RSF IPRO  S/T - (6,5)</t>
  </si>
  <si>
    <t>SEM SOJA 63I64RSF IPRO + TSI + INOCULANTE - (5,5)</t>
  </si>
  <si>
    <t>SEM SOJA 63I64RSF IPRO + TSI + INOCULANTE - (6,5)</t>
  </si>
  <si>
    <t>SEM SOJA BS 2606 S/T - (5,5)</t>
  </si>
  <si>
    <t>SEM SOJA BS 2606 S/T - (6,5)</t>
  </si>
  <si>
    <t>SEM SOJA BS 2606 TSI +  TSI + INOCULANTE - (5,5)</t>
  </si>
  <si>
    <t>SEM SOJA BS 2606 TSI +  TSI + INOCULANTE - (6,5)</t>
  </si>
  <si>
    <t>SEM SOJA M5947IPRO S/T - (5,5)</t>
  </si>
  <si>
    <t>SEM SOJA M5947IPRO S/T - (6,5)</t>
  </si>
  <si>
    <t>SEM SOJA M5947IPRO TSI + ECOTRICH - (5,5)</t>
  </si>
  <si>
    <t>SEM SOJA M5947IPRO TSI + ECOTRICH - (6,5)</t>
  </si>
  <si>
    <t>SEM SOJA M6210IPRO + TSI+ INOCULANTE - (5,5)</t>
  </si>
  <si>
    <t>SEM SOJA M6210IPRO + TSI+ INOCULANTE - (6,5)</t>
  </si>
  <si>
    <t>SEM SOJA M6210IPRO S/T - (5,5)</t>
  </si>
  <si>
    <t>SEM SOJA M6210IPRO S/T - (6,5)</t>
  </si>
  <si>
    <t>SEM SOJA M6410 + TSI + INOCULANTE - (5,5)</t>
  </si>
  <si>
    <t>SEM SOJA M6410 + TSI + INOCULANTE - (6,5)</t>
  </si>
  <si>
    <t>SEM SOJA M6410 S/T - (5,5)</t>
  </si>
  <si>
    <t>SEM SOJA M6410 S/T - (6,5)</t>
  </si>
  <si>
    <t>SEM SOJA NA5909 + TSI + INOCULANTE - (5,5)</t>
  </si>
  <si>
    <t>SEM SOJA NA5909 + TSI + INOCULANTE - (6,5)</t>
  </si>
  <si>
    <t>SEM SOJA NA5909 S/T - (5,5)</t>
  </si>
  <si>
    <t>SEM SOJA NA5909 S/T - (6,5)</t>
  </si>
  <si>
    <t>SEM SOJA TMG 7062 IPRO + TSI +INOCULANTE - (5,5)</t>
  </si>
  <si>
    <t>SEM SOJA TMG 7062 IPRO + TSI +INOCULANTE - (6,5)</t>
  </si>
  <si>
    <t>SEM SOJA TMG 7062 IPRO S/T - (5,5)</t>
  </si>
  <si>
    <t>SEM SOJA TMG 7062 IPRO S/T - (6,5)</t>
  </si>
  <si>
    <t>SEM SOJA TMG 7262RR + TSI + INOCULANTE - (5,5)</t>
  </si>
  <si>
    <t>SEM SOJA TMG 7262RR + TSI + INOCULANTE - (6,5)</t>
  </si>
  <si>
    <t>SEM SOJA TMG 7262RR S/T - (5,5)</t>
  </si>
  <si>
    <t>SEM SOJA TMG 7262RR S/T - (6,5)</t>
  </si>
  <si>
    <t>SEM SOJA TMG7063IPRO + TSI + INOCULANTE - (5,5)</t>
  </si>
  <si>
    <t>SEM SOJA TMG7063IPRO + TSI + INOCULANTE - (6,5)</t>
  </si>
  <si>
    <t>SEM SOJA TMG7063IPRO S/T - (5,5)</t>
  </si>
  <si>
    <t>SEM SOJA TMG7063IPRO S/T - (6,5)</t>
  </si>
  <si>
    <t>Produtos</t>
  </si>
  <si>
    <t>Pricipio Ativo</t>
  </si>
  <si>
    <t>Precio</t>
  </si>
  <si>
    <t>Custo</t>
  </si>
  <si>
    <t>Margem</t>
  </si>
  <si>
    <t>Precio Real</t>
  </si>
  <si>
    <t>Margem Real</t>
  </si>
  <si>
    <t>DIF</t>
  </si>
  <si>
    <t>Acrescent Raiz F (2ml/Kg) A</t>
  </si>
  <si>
    <t>Fertactyl Leg (2 ml/kg) A</t>
  </si>
  <si>
    <t>Rancona (1 ml/kg) C</t>
  </si>
  <si>
    <t>Metalaxil 2% + Fludioxonil 2,5% + Tiabendazol 15%</t>
  </si>
  <si>
    <t>Trichoderma harzianum 2 (Th2) Bj Rizoderma de 9lts cada + Protector de 3 L cada. Para 3000 kg de semilla</t>
  </si>
  <si>
    <t>Rizoliq Top (2 ml/kg) A</t>
  </si>
  <si>
    <t>Inoculante soja 2X10a10’</t>
  </si>
  <si>
    <t>Glufosinato 40%</t>
  </si>
  <si>
    <t>Pixxaro (0,3 - 0,4) C</t>
  </si>
  <si>
    <t>Strim (1-1,5) B</t>
  </si>
  <si>
    <t>S-metalacloro 96%</t>
  </si>
  <si>
    <t>Alsystin (0,05) A</t>
  </si>
  <si>
    <t>Triflumuron 25%</t>
  </si>
  <si>
    <t>Betaciflutrina 12,5%</t>
  </si>
  <si>
    <t>Clorantraniliproli 62,5%</t>
  </si>
  <si>
    <t>Acefato 97%</t>
  </si>
  <si>
    <t>Soyguard (0,08 – 0,1) B</t>
  </si>
  <si>
    <t>Teflubenzuron 30%</t>
  </si>
  <si>
    <t>Toxatrin (0,3 - 0,5) A</t>
  </si>
  <si>
    <t>FUNGICIDAS</t>
  </si>
  <si>
    <t>Clorotalonil 72%</t>
  </si>
  <si>
    <t>Trifloxistrobin 15% + Prothioconazole 17,5% + Bixafen 12,5%</t>
  </si>
  <si>
    <t>Difenazol (0,5) A</t>
  </si>
  <si>
    <t>Difeno 20% + Tebuco 20%</t>
  </si>
  <si>
    <t>Mancozeb 75% WG</t>
  </si>
  <si>
    <t>Nativo (0,5) C</t>
  </si>
  <si>
    <t>Trifloxistrobin 10% + Tebuconazole 20%</t>
  </si>
  <si>
    <t>Sphere Max (0,2) C</t>
  </si>
  <si>
    <t>Trifloxistrobina 37,5% + Ciproconazol 16%</t>
  </si>
  <si>
    <t>Vessaria (0,6) B</t>
  </si>
  <si>
    <t>Picoxis + Protio</t>
  </si>
  <si>
    <t>Acrescent sollus F (2) A</t>
  </si>
  <si>
    <t>Fertactyl GZ (0,5) A</t>
  </si>
  <si>
    <t>Fertileader Vital 954 (1) A</t>
  </si>
  <si>
    <t>Optimizer (0,2 – 0,3) A</t>
  </si>
  <si>
    <t>Aceite Vegetal</t>
  </si>
  <si>
    <t>Sticker Oil (0,2 - 0,5) A</t>
  </si>
  <si>
    <t>TA35 5 L (0,05) A</t>
  </si>
  <si>
    <t>U10 (0,05) A</t>
  </si>
  <si>
    <t>Yara Vitta Bortrac (0,5) A</t>
  </si>
  <si>
    <t>Yara Vitta Folicare (2 -4) A</t>
  </si>
  <si>
    <t>Yara Vitta Glytrel (1) A</t>
  </si>
  <si>
    <t>Cliente</t>
  </si>
  <si>
    <t>Cant. Ha</t>
  </si>
  <si>
    <t>Disponivel</t>
  </si>
  <si>
    <t>Valor da Saca</t>
  </si>
  <si>
    <t>Contrato Kg</t>
  </si>
  <si>
    <t>Total USD</t>
  </si>
  <si>
    <t>Soja 23/24</t>
  </si>
  <si>
    <t>Total Custo</t>
  </si>
  <si>
    <t>Preco da Soja</t>
  </si>
  <si>
    <t>Preço Livre</t>
  </si>
  <si>
    <t>Precio real Soja</t>
  </si>
  <si>
    <t>DIF Preco Real</t>
  </si>
  <si>
    <t>Quantidade de Sacas</t>
  </si>
  <si>
    <t>Sa/Ha</t>
  </si>
  <si>
    <t xml:space="preserve">TS </t>
  </si>
  <si>
    <t>Aplic.</t>
  </si>
  <si>
    <t>Produto</t>
  </si>
  <si>
    <t>Cant. Produto</t>
  </si>
  <si>
    <t>QUAT. EXATA</t>
  </si>
  <si>
    <t>U$/AREA</t>
  </si>
  <si>
    <t>US Custo</t>
  </si>
  <si>
    <t>HERBICIDAS</t>
  </si>
  <si>
    <t>INSETICIDAS</t>
  </si>
  <si>
    <t>ESPECIALIDADES</t>
  </si>
  <si>
    <t>Fert</t>
  </si>
  <si>
    <t>Cripton XPRO (0,5) C</t>
  </si>
  <si>
    <t>Lucro Liq.</t>
  </si>
  <si>
    <t>Sacas/Ha</t>
  </si>
  <si>
    <t>Semente</t>
  </si>
  <si>
    <t>Sem Soja</t>
  </si>
  <si>
    <t>Texaro (0,043) C</t>
  </si>
  <si>
    <t>Bulldock (250 ML)  (0,05) C</t>
  </si>
  <si>
    <t>Flumioxazin 48%</t>
  </si>
  <si>
    <t>Fert. 00-00-60 Fertipar C</t>
  </si>
  <si>
    <t>Fert. 02-23-23 TopMix Evo. Yara C</t>
  </si>
  <si>
    <t>Fert. 08-40-08 TopMIx Evo. Yara C</t>
  </si>
  <si>
    <t>Dose/Ha (sc de 125mil)</t>
  </si>
  <si>
    <t>Dose/Ha (Kg/Ha)</t>
  </si>
  <si>
    <t>Dose/Ha (Lt/Kg de sem.)</t>
  </si>
  <si>
    <t>Dose/Ha (Lt ou KgHa)</t>
  </si>
  <si>
    <t>Rizoderma Max (2 ml/kg + 1 ml/kg) B</t>
  </si>
  <si>
    <t>Rizospirilum (2ml/Kg) A</t>
  </si>
  <si>
    <t>Intrepid (0,3) A</t>
  </si>
  <si>
    <t>55I57 RSF IPRO (ZEUS) (260mil/Ha) A</t>
  </si>
  <si>
    <t>65I65 RSF IPRO (COMPACTA) (240mil/Ha) A</t>
  </si>
  <si>
    <t>64IX66 RSF (NEXUS) (235mil/Há) A</t>
  </si>
  <si>
    <t>63IX65 RSF (COLISEU) (235mil/Há) A</t>
  </si>
  <si>
    <t>DM66I68 RSF IPRO (230mil/Há A</t>
  </si>
  <si>
    <t>M5947 IPRO (240mil/Ha) A</t>
  </si>
  <si>
    <t>M5921 I2X (240mil/Ha) A</t>
  </si>
  <si>
    <t>Clorante 62,5 (0,5 ml/Kg) A</t>
  </si>
  <si>
    <t>Flumioxazin 48% (0,1) B</t>
  </si>
  <si>
    <t>Clomazone 48% (0,8 - 1) C</t>
  </si>
  <si>
    <t>Verdict Ultra (0,08) C</t>
  </si>
  <si>
    <t>Clorante 80% (0,04) C</t>
  </si>
  <si>
    <t>Lascar (0,8 – 1,0) B</t>
  </si>
  <si>
    <t>Loyer (0,4 - 0,5) A</t>
  </si>
  <si>
    <t>Tampronil 72% (1,5) A</t>
  </si>
  <si>
    <t>Aproach Power (0,6) C</t>
  </si>
  <si>
    <t>Solomon (0,4) C</t>
  </si>
  <si>
    <t>Ever Gold (0,9ml/Kg) C</t>
  </si>
  <si>
    <t>Expedition (0,5) C</t>
  </si>
  <si>
    <t>VALEMAX (0,05) A</t>
  </si>
  <si>
    <t>VitaGrow TS (1ml/Kg) A</t>
  </si>
  <si>
    <t>Glufosinato 40 (1,5 – 2,5) C</t>
  </si>
  <si>
    <t>Muralla (1,5 – 3,0) C</t>
  </si>
  <si>
    <t>Viovan (0,6) B</t>
  </si>
  <si>
    <t>Progen Detox (0,4) A</t>
  </si>
  <si>
    <t>Rizoil M (0,2) A</t>
  </si>
  <si>
    <t>64I61 RSF IPRO (FIBRA) (235mil/Ha) A</t>
  </si>
  <si>
    <t>Contrato em Aberto Kg</t>
  </si>
  <si>
    <t>Ippon (0,15) B</t>
  </si>
  <si>
    <t>Quintal Xtra (0,2) A</t>
  </si>
  <si>
    <t>Saflunex 70 (0,8) C</t>
  </si>
  <si>
    <t>M6130 I2X (230mil/Ha) A</t>
  </si>
  <si>
    <t>Dermacor (0,5ml/Kg)  C</t>
  </si>
  <si>
    <t>55I57 RSF IPRO (ZEUS) (260mil/Ha) + TSIA</t>
  </si>
  <si>
    <t>63IX65 RSF (COLISEU) (235mil/Há) + TSI A</t>
  </si>
  <si>
    <t>64I61 RSF IPRO (FIBRA) (235mil/Ha) + TSI A</t>
  </si>
  <si>
    <t>64IX66 RSF (NEXUS) (235mil/Há) + TSI A</t>
  </si>
  <si>
    <t>65I65 RSF IPRO (COMPACTA) (240mil/Ha) + TSI A</t>
  </si>
  <si>
    <t>DM66I68 RSF IPRO (230mil/Há + TSI A</t>
  </si>
  <si>
    <t>M5921 I2X (240mil/Ha) + TSI A</t>
  </si>
  <si>
    <t>M5947 IPRO (240mil/Ha) + TSI A</t>
  </si>
  <si>
    <t>M6130 I2X (230mil/Ha) + TSI A</t>
  </si>
  <si>
    <t>APARECIDO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</si>
</sst>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 * #,##0.00_ ;_ * \-#,##0.00_ ;_ * \-??_ ;_ @_ "/>
    <numFmt numFmtId="165" formatCode="0\ %"/>
    <numFmt numFmtId="166" formatCode="0.00\ %"/>
    <numFmt numFmtId="167" formatCode="_ * #,##0.00000_ ;_ * \-#,##0.00000_ ;_ * \-??_ ;_ @_ "/>
    <numFmt numFmtId="168" formatCode="_ * #,##0.0_ ;_ * \-#,##0.0_ ;_ * \-??_ ;_ @_ "/>
    <numFmt numFmtId="169" formatCode="_ * #,##0.000_ ;_ * \-#,##0.000_ ;_ * \-??_ ;_ @_ "/>
    <numFmt numFmtId="170" formatCode="0.000"/>
    <numFmt numFmtId="171" formatCode="0.0000"/>
    <numFmt numFmtId="172" formatCode="_ * #,##0.0000_ ;_ * \-#,##0.0000_ ;_ * \-??_ ;_ @_ "/>
    <numFmt numFmtId="173" formatCode="#,##0.000"/>
  </numFmts>
  <fonts count="18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0"/>
      <color rgb="FF000000"/>
      <name val="Arial1"/>
      <charset val="1"/>
    </font>
    <font>
      <b/>
      <sz val="10"/>
      <color rgb="FF000000"/>
      <name val="Arial1"/>
      <charset val="1"/>
    </font>
    <font>
      <sz val="10"/>
      <name val="Arial"/>
      <family val="2"/>
      <charset val="1"/>
    </font>
    <font>
      <sz val="18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sz val="11"/>
      <color rgb="FF4472C4"/>
      <name val="Calibri"/>
      <family val="2"/>
      <charset val="1"/>
    </font>
    <font>
      <sz val="11"/>
      <color rgb="FF203864"/>
      <name val="Calibri"/>
      <family val="2"/>
      <charset val="1"/>
    </font>
    <font>
      <b/>
      <sz val="11"/>
      <color rgb="FF203864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sz val="10"/>
      <color rgb="FF000000"/>
      <name val="Arial1"/>
    </font>
    <font>
      <b/>
      <sz val="10"/>
      <color rgb="FF000000"/>
      <name val="Arial1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DAE3F3"/>
        <bgColor rgb="FFCCFFFF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hair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hair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hair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hair">
        <color indexed="64"/>
      </right>
      <top style="thin">
        <color auto="1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3" fillId="0" borderId="0" applyBorder="0" applyProtection="0"/>
    <xf numFmtId="165" fontId="5" fillId="0" borderId="0" applyBorder="0" applyProtection="0"/>
  </cellStyleXfs>
  <cellXfs count="14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3" xfId="0" applyFont="1" applyBorder="1" applyProtection="1">
      <protection locked="0"/>
    </xf>
    <xf numFmtId="164" fontId="2" fillId="2" borderId="3" xfId="1" applyFont="1" applyFill="1" applyBorder="1" applyProtection="1"/>
    <xf numFmtId="0" fontId="2" fillId="0" borderId="3" xfId="0" applyFont="1" applyBorder="1" applyAlignment="1">
      <alignment vertical="center"/>
    </xf>
    <xf numFmtId="0" fontId="0" fillId="0" borderId="3" xfId="0" applyBorder="1"/>
    <xf numFmtId="0" fontId="0" fillId="0" borderId="3" xfId="0" applyBorder="1" applyProtection="1">
      <protection locked="0"/>
    </xf>
    <xf numFmtId="164" fontId="13" fillId="2" borderId="3" xfId="1" applyFill="1" applyBorder="1" applyProtection="1"/>
    <xf numFmtId="164" fontId="0" fillId="0" borderId="0" xfId="0" applyNumberFormat="1"/>
    <xf numFmtId="0" fontId="3" fillId="0" borderId="0" xfId="0" applyFont="1"/>
    <xf numFmtId="0" fontId="4" fillId="0" borderId="0" xfId="0" applyFont="1"/>
    <xf numFmtId="166" fontId="5" fillId="0" borderId="0" xfId="2" applyNumberFormat="1" applyBorder="1" applyProtection="1"/>
    <xf numFmtId="0" fontId="3" fillId="0" borderId="3" xfId="0" applyFont="1" applyBorder="1"/>
    <xf numFmtId="0" fontId="4" fillId="3" borderId="3" xfId="0" applyFont="1" applyFill="1" applyBorder="1"/>
    <xf numFmtId="0" fontId="4" fillId="0" borderId="3" xfId="0" applyFont="1" applyBorder="1"/>
    <xf numFmtId="2" fontId="4" fillId="0" borderId="3" xfId="0" applyNumberFormat="1" applyFont="1" applyBorder="1" applyAlignment="1">
      <alignment vertical="center"/>
    </xf>
    <xf numFmtId="0" fontId="4" fillId="0" borderId="3" xfId="0" applyFont="1" applyBorder="1" applyAlignment="1">
      <alignment horizontal="right" vertical="center" textRotation="90"/>
    </xf>
    <xf numFmtId="0" fontId="4" fillId="3" borderId="3" xfId="0" applyFont="1" applyFill="1" applyBorder="1" applyAlignment="1">
      <alignment horizontal="left" vertical="center"/>
    </xf>
    <xf numFmtId="0" fontId="3" fillId="3" borderId="3" xfId="0" applyFont="1" applyFill="1" applyBorder="1"/>
    <xf numFmtId="2" fontId="4" fillId="3" borderId="3" xfId="0" applyNumberFormat="1" applyFont="1" applyFill="1" applyBorder="1" applyAlignment="1">
      <alignment horizontal="right"/>
    </xf>
    <xf numFmtId="0" fontId="3" fillId="3" borderId="0" xfId="0" applyFont="1" applyFill="1"/>
    <xf numFmtId="166" fontId="5" fillId="3" borderId="0" xfId="2" applyNumberFormat="1" applyFill="1" applyBorder="1" applyProtection="1"/>
    <xf numFmtId="166" fontId="3" fillId="0" borderId="0" xfId="0" applyNumberFormat="1" applyFont="1"/>
    <xf numFmtId="10" fontId="3" fillId="0" borderId="0" xfId="0" applyNumberFormat="1" applyFont="1"/>
    <xf numFmtId="0" fontId="4" fillId="3" borderId="3" xfId="0" applyFont="1" applyFill="1" applyBorder="1" applyAlignment="1">
      <alignment horizontal="right" vertical="center" textRotation="90"/>
    </xf>
    <xf numFmtId="0" fontId="4" fillId="0" borderId="3" xfId="0" applyFont="1" applyBorder="1" applyAlignment="1">
      <alignment horizontal="left" vertical="center"/>
    </xf>
    <xf numFmtId="2" fontId="4" fillId="0" borderId="3" xfId="0" applyNumberFormat="1" applyFont="1" applyBorder="1" applyAlignment="1">
      <alignment horizontal="right" vertical="center"/>
    </xf>
    <xf numFmtId="0" fontId="3" fillId="3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 textRotation="90"/>
    </xf>
    <xf numFmtId="0" fontId="4" fillId="3" borderId="3" xfId="0" applyFont="1" applyFill="1" applyBorder="1" applyAlignment="1">
      <alignment horizontal="left"/>
    </xf>
    <xf numFmtId="2" fontId="4" fillId="0" borderId="3" xfId="0" applyNumberFormat="1" applyFont="1" applyBorder="1" applyAlignment="1">
      <alignment horizontal="right"/>
    </xf>
    <xf numFmtId="0" fontId="1" fillId="0" borderId="3" xfId="0" applyFont="1" applyBorder="1"/>
    <xf numFmtId="164" fontId="13" fillId="0" borderId="3" xfId="1" applyBorder="1" applyProtection="1"/>
    <xf numFmtId="0" fontId="4" fillId="0" borderId="0" xfId="0" applyFont="1" applyAlignment="1">
      <alignment horizontal="right" vertical="center" textRotation="90"/>
    </xf>
    <xf numFmtId="2" fontId="4" fillId="0" borderId="0" xfId="0" applyNumberFormat="1" applyFont="1" applyAlignment="1">
      <alignment horizontal="right"/>
    </xf>
    <xf numFmtId="2" fontId="1" fillId="0" borderId="3" xfId="0" applyNumberFormat="1" applyFont="1" applyBorder="1"/>
    <xf numFmtId="164" fontId="1" fillId="0" borderId="8" xfId="1" applyFont="1" applyBorder="1" applyProtection="1"/>
    <xf numFmtId="164" fontId="13" fillId="0" borderId="0" xfId="1" applyBorder="1" applyProtection="1"/>
    <xf numFmtId="0" fontId="1" fillId="4" borderId="7" xfId="0" applyFont="1" applyFill="1" applyBorder="1" applyAlignment="1" applyProtection="1">
      <alignment horizontal="center"/>
      <protection locked="0"/>
    </xf>
    <xf numFmtId="0" fontId="11" fillId="4" borderId="7" xfId="0" applyFont="1" applyFill="1" applyBorder="1" applyProtection="1">
      <protection locked="0"/>
    </xf>
    <xf numFmtId="168" fontId="1" fillId="0" borderId="7" xfId="1" applyNumberFormat="1" applyFont="1" applyBorder="1" applyProtection="1"/>
    <xf numFmtId="164" fontId="1" fillId="0" borderId="12" xfId="1" applyFont="1" applyBorder="1" applyProtection="1"/>
    <xf numFmtId="164" fontId="2" fillId="2" borderId="10" xfId="1" applyFont="1" applyFill="1" applyBorder="1" applyProtection="1"/>
    <xf numFmtId="164" fontId="2" fillId="2" borderId="7" xfId="1" applyFont="1" applyFill="1" applyBorder="1" applyProtection="1"/>
    <xf numFmtId="169" fontId="2" fillId="2" borderId="7" xfId="1" applyNumberFormat="1" applyFont="1" applyFill="1" applyBorder="1" applyProtection="1"/>
    <xf numFmtId="0" fontId="1" fillId="4" borderId="8" xfId="0" applyFont="1" applyFill="1" applyBorder="1" applyAlignment="1" applyProtection="1">
      <alignment horizontal="center"/>
      <protection locked="0"/>
    </xf>
    <xf numFmtId="0" fontId="11" fillId="4" borderId="8" xfId="0" applyFont="1" applyFill="1" applyBorder="1" applyProtection="1">
      <protection locked="0"/>
    </xf>
    <xf numFmtId="168" fontId="1" fillId="0" borderId="8" xfId="1" applyNumberFormat="1" applyFont="1" applyBorder="1" applyProtection="1"/>
    <xf numFmtId="164" fontId="1" fillId="0" borderId="14" xfId="1" applyFont="1" applyBorder="1" applyProtection="1"/>
    <xf numFmtId="164" fontId="1" fillId="0" borderId="6" xfId="1" applyFont="1" applyBorder="1" applyProtection="1"/>
    <xf numFmtId="0" fontId="12" fillId="4" borderId="7" xfId="0" applyFont="1" applyFill="1" applyBorder="1" applyAlignment="1" applyProtection="1">
      <alignment horizontal="center"/>
      <protection locked="0"/>
    </xf>
    <xf numFmtId="0" fontId="12" fillId="4" borderId="8" xfId="0" applyFont="1" applyFill="1" applyBorder="1" applyAlignment="1" applyProtection="1">
      <alignment horizontal="center"/>
      <protection locked="0"/>
    </xf>
    <xf numFmtId="170" fontId="4" fillId="0" borderId="3" xfId="0" applyNumberFormat="1" applyFont="1" applyBorder="1" applyAlignment="1">
      <alignment vertical="center"/>
    </xf>
    <xf numFmtId="171" fontId="4" fillId="0" borderId="3" xfId="0" applyNumberFormat="1" applyFont="1" applyBorder="1" applyAlignment="1">
      <alignment vertical="center"/>
    </xf>
    <xf numFmtId="172" fontId="2" fillId="2" borderId="7" xfId="1" applyNumberFormat="1" applyFont="1" applyFill="1" applyBorder="1" applyProtection="1"/>
    <xf numFmtId="169" fontId="1" fillId="0" borderId="12" xfId="1" applyNumberFormat="1" applyFont="1" applyBorder="1" applyProtection="1"/>
    <xf numFmtId="0" fontId="0" fillId="0" borderId="15" xfId="0" applyBorder="1"/>
    <xf numFmtId="0" fontId="3" fillId="0" borderId="15" xfId="0" applyFont="1" applyBorder="1"/>
    <xf numFmtId="0" fontId="1" fillId="0" borderId="15" xfId="0" applyFont="1" applyBorder="1"/>
    <xf numFmtId="0" fontId="3" fillId="3" borderId="15" xfId="0" applyFont="1" applyFill="1" applyBorder="1"/>
    <xf numFmtId="168" fontId="1" fillId="0" borderId="17" xfId="1" applyNumberFormat="1" applyFont="1" applyBorder="1" applyProtection="1"/>
    <xf numFmtId="164" fontId="13" fillId="0" borderId="3" xfId="1" applyBorder="1"/>
    <xf numFmtId="0" fontId="15" fillId="3" borderId="3" xfId="0" applyFont="1" applyFill="1" applyBorder="1" applyAlignment="1">
      <alignment horizontal="left"/>
    </xf>
    <xf numFmtId="0" fontId="16" fillId="3" borderId="3" xfId="0" applyFont="1" applyFill="1" applyBorder="1" applyAlignment="1">
      <alignment horizontal="left"/>
    </xf>
    <xf numFmtId="0" fontId="15" fillId="3" borderId="3" xfId="0" applyFont="1" applyFill="1" applyBorder="1"/>
    <xf numFmtId="2" fontId="13" fillId="0" borderId="0" xfId="1" applyNumberFormat="1" applyBorder="1" applyProtection="1"/>
    <xf numFmtId="0" fontId="17" fillId="0" borderId="3" xfId="0" applyFont="1" applyBorder="1"/>
    <xf numFmtId="0" fontId="15" fillId="3" borderId="3" xfId="0" applyFont="1" applyFill="1" applyBorder="1" applyAlignment="1">
      <alignment horizontal="left" vertical="center"/>
    </xf>
    <xf numFmtId="0" fontId="0" fillId="3" borderId="0" xfId="0" applyFill="1"/>
    <xf numFmtId="0" fontId="1" fillId="0" borderId="7" xfId="0" applyFont="1" applyBorder="1"/>
    <xf numFmtId="3" fontId="1" fillId="0" borderId="7" xfId="0" applyNumberFormat="1" applyFont="1" applyBorder="1"/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0" fontId="1" fillId="0" borderId="0" xfId="0" applyFont="1"/>
    <xf numFmtId="3" fontId="1" fillId="0" borderId="0" xfId="0" applyNumberFormat="1" applyFont="1"/>
    <xf numFmtId="0" fontId="9" fillId="0" borderId="0" xfId="0" applyFont="1"/>
    <xf numFmtId="4" fontId="1" fillId="0" borderId="0" xfId="0" applyNumberFormat="1" applyFont="1"/>
    <xf numFmtId="4" fontId="0" fillId="0" borderId="0" xfId="0" applyNumberFormat="1"/>
    <xf numFmtId="166" fontId="0" fillId="0" borderId="0" xfId="0" applyNumberFormat="1"/>
    <xf numFmtId="173" fontId="1" fillId="0" borderId="0" xfId="0" applyNumberFormat="1" applyFont="1"/>
    <xf numFmtId="10" fontId="0" fillId="0" borderId="0" xfId="0" applyNumberFormat="1"/>
    <xf numFmtId="166" fontId="1" fillId="0" borderId="0" xfId="0" applyNumberFormat="1" applyFont="1"/>
    <xf numFmtId="164" fontId="13" fillId="0" borderId="0" xfId="1" applyProtection="1"/>
    <xf numFmtId="169" fontId="13" fillId="0" borderId="0" xfId="1" applyNumberFormat="1" applyProtection="1"/>
    <xf numFmtId="171" fontId="0" fillId="0" borderId="0" xfId="0" applyNumberFormat="1"/>
    <xf numFmtId="166" fontId="5" fillId="0" borderId="0" xfId="2" applyNumberFormat="1" applyProtection="1"/>
    <xf numFmtId="173" fontId="0" fillId="0" borderId="0" xfId="0" applyNumberFormat="1"/>
    <xf numFmtId="4" fontId="0" fillId="3" borderId="0" xfId="0" applyNumberFormat="1" applyFill="1"/>
    <xf numFmtId="0" fontId="1" fillId="0" borderId="0" xfId="0" applyFont="1" applyAlignment="1">
      <alignment horizontal="center"/>
    </xf>
    <xf numFmtId="0" fontId="10" fillId="0" borderId="9" xfId="0" applyFont="1" applyBorder="1" applyAlignment="1">
      <alignment vertical="center"/>
    </xf>
    <xf numFmtId="0" fontId="1" fillId="0" borderId="5" xfId="0" applyFont="1" applyBorder="1"/>
    <xf numFmtId="0" fontId="1" fillId="0" borderId="6" xfId="0" applyFont="1" applyBorder="1"/>
    <xf numFmtId="0" fontId="1" fillId="0" borderId="10" xfId="0" applyFont="1" applyBorder="1"/>
    <xf numFmtId="0" fontId="0" fillId="3" borderId="7" xfId="0" applyFill="1" applyBorder="1"/>
    <xf numFmtId="0" fontId="10" fillId="0" borderId="11" xfId="0" applyFont="1" applyBorder="1" applyAlignment="1">
      <alignment vertical="center"/>
    </xf>
    <xf numFmtId="0" fontId="1" fillId="4" borderId="7" xfId="0" applyFont="1" applyFill="1" applyBorder="1" applyAlignment="1">
      <alignment horizontal="center"/>
    </xf>
    <xf numFmtId="0" fontId="11" fillId="4" borderId="7" xfId="0" applyFont="1" applyFill="1" applyBorder="1"/>
    <xf numFmtId="164" fontId="10" fillId="3" borderId="7" xfId="0" applyNumberFormat="1" applyFont="1" applyFill="1" applyBorder="1"/>
    <xf numFmtId="164" fontId="0" fillId="0" borderId="7" xfId="0" applyNumberFormat="1" applyBorder="1"/>
    <xf numFmtId="0" fontId="10" fillId="0" borderId="16" xfId="0" applyFont="1" applyBorder="1" applyAlignment="1">
      <alignment vertical="center"/>
    </xf>
    <xf numFmtId="0" fontId="1" fillId="4" borderId="17" xfId="0" applyFont="1" applyFill="1" applyBorder="1" applyAlignment="1">
      <alignment horizontal="center"/>
    </xf>
    <xf numFmtId="0" fontId="11" fillId="4" borderId="17" xfId="0" applyFont="1" applyFill="1" applyBorder="1"/>
    <xf numFmtId="0" fontId="10" fillId="0" borderId="13" xfId="0" applyFont="1" applyBorder="1" applyAlignment="1">
      <alignment vertical="center"/>
    </xf>
    <xf numFmtId="164" fontId="2" fillId="3" borderId="7" xfId="0" applyNumberFormat="1" applyFont="1" applyFill="1" applyBorder="1"/>
    <xf numFmtId="0" fontId="2" fillId="0" borderId="9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167" fontId="14" fillId="5" borderId="0" xfId="1" applyNumberFormat="1" applyFont="1" applyFill="1" applyBorder="1" applyProtection="1"/>
    <xf numFmtId="0" fontId="1" fillId="5" borderId="0" xfId="0" applyFont="1" applyFill="1" applyAlignment="1">
      <alignment horizontal="center"/>
    </xf>
    <xf numFmtId="0" fontId="0" fillId="5" borderId="0" xfId="0" applyFill="1"/>
    <xf numFmtId="164" fontId="13" fillId="5" borderId="0" xfId="1" applyFill="1" applyBorder="1" applyProtection="1"/>
    <xf numFmtId="164" fontId="1" fillId="0" borderId="0" xfId="1" applyFont="1" applyBorder="1" applyProtection="1"/>
    <xf numFmtId="4" fontId="1" fillId="4" borderId="18" xfId="0" applyNumberFormat="1" applyFont="1" applyFill="1" applyBorder="1"/>
    <xf numFmtId="4" fontId="1" fillId="0" borderId="22" xfId="0" applyNumberFormat="1" applyFont="1" applyBorder="1"/>
    <xf numFmtId="0" fontId="1" fillId="3" borderId="0" xfId="0" applyFont="1" applyFill="1"/>
    <xf numFmtId="0" fontId="1" fillId="0" borderId="23" xfId="0" applyFont="1" applyBorder="1"/>
    <xf numFmtId="0" fontId="1" fillId="3" borderId="27" xfId="0" applyFont="1" applyFill="1" applyBorder="1"/>
    <xf numFmtId="0" fontId="1" fillId="0" borderId="32" xfId="0" applyFont="1" applyBorder="1"/>
    <xf numFmtId="0" fontId="7" fillId="4" borderId="33" xfId="0" applyFont="1" applyFill="1" applyBorder="1" applyProtection="1">
      <protection locked="0"/>
    </xf>
    <xf numFmtId="0" fontId="4" fillId="3" borderId="36" xfId="0" applyFont="1" applyFill="1" applyBorder="1"/>
    <xf numFmtId="0" fontId="4" fillId="0" borderId="36" xfId="0" applyFont="1" applyBorder="1"/>
    <xf numFmtId="171" fontId="4" fillId="0" borderId="36" xfId="0" applyNumberFormat="1" applyFont="1" applyBorder="1" applyAlignment="1">
      <alignment vertical="center"/>
    </xf>
    <xf numFmtId="2" fontId="4" fillId="0" borderId="36" xfId="0" applyNumberFormat="1" applyFont="1" applyBorder="1" applyAlignment="1">
      <alignment vertical="center"/>
    </xf>
    <xf numFmtId="0" fontId="4" fillId="3" borderId="37" xfId="0" applyFont="1" applyFill="1" applyBorder="1"/>
    <xf numFmtId="0" fontId="4" fillId="0" borderId="37" xfId="0" applyFont="1" applyBorder="1"/>
    <xf numFmtId="171" fontId="4" fillId="0" borderId="37" xfId="0" applyNumberFormat="1" applyFont="1" applyBorder="1" applyAlignment="1">
      <alignment vertical="center"/>
    </xf>
    <xf numFmtId="2" fontId="4" fillId="0" borderId="37" xfId="0" applyNumberFormat="1" applyFont="1" applyBorder="1" applyAlignment="1">
      <alignment vertical="center"/>
    </xf>
    <xf numFmtId="166" fontId="5" fillId="3" borderId="3" xfId="2" applyNumberFormat="1" applyFill="1" applyBorder="1" applyProtection="1"/>
    <xf numFmtId="166" fontId="3" fillId="0" borderId="3" xfId="0" applyNumberFormat="1" applyFont="1" applyBorder="1"/>
    <xf numFmtId="166" fontId="5" fillId="0" borderId="3" xfId="2" applyNumberFormat="1" applyBorder="1" applyProtection="1"/>
    <xf numFmtId="10" fontId="3" fillId="0" borderId="3" xfId="0" applyNumberFormat="1" applyFont="1" applyBorder="1"/>
    <xf numFmtId="4" fontId="1" fillId="0" borderId="19" xfId="0" applyNumberFormat="1" applyFont="1" applyBorder="1" applyAlignment="1">
      <alignment horizontal="center" vertical="center" wrapText="1"/>
    </xf>
    <xf numFmtId="0" fontId="6" fillId="4" borderId="25" xfId="0" applyFont="1" applyFill="1" applyBorder="1" applyAlignment="1" applyProtection="1">
      <alignment horizontal="center" vertical="center" wrapText="1"/>
      <protection locked="0"/>
    </xf>
    <xf numFmtId="0" fontId="6" fillId="4" borderId="26" xfId="0" applyFont="1" applyFill="1" applyBorder="1" applyAlignment="1" applyProtection="1">
      <alignment horizontal="center" vertical="center" wrapText="1"/>
      <protection locked="0"/>
    </xf>
    <xf numFmtId="0" fontId="6" fillId="4" borderId="20" xfId="0" applyFont="1" applyFill="1" applyBorder="1" applyAlignment="1" applyProtection="1">
      <alignment horizontal="center" vertical="center" wrapText="1"/>
      <protection locked="0"/>
    </xf>
    <xf numFmtId="0" fontId="6" fillId="4" borderId="21" xfId="0" applyFont="1" applyFill="1" applyBorder="1" applyAlignment="1" applyProtection="1">
      <alignment horizontal="center" vertical="center" wrapText="1"/>
      <protection locked="0"/>
    </xf>
    <xf numFmtId="0" fontId="6" fillId="4" borderId="30" xfId="0" applyFont="1" applyFill="1" applyBorder="1" applyAlignment="1" applyProtection="1">
      <alignment horizontal="center" vertical="center" wrapText="1"/>
      <protection locked="0"/>
    </xf>
    <xf numFmtId="0" fontId="6" fillId="4" borderId="31" xfId="0" applyFont="1" applyFill="1" applyBorder="1" applyAlignment="1" applyProtection="1">
      <alignment horizontal="center" vertical="center" wrapText="1"/>
      <protection locked="0"/>
    </xf>
    <xf numFmtId="0" fontId="6" fillId="0" borderId="24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164" fontId="7" fillId="0" borderId="34" xfId="1" applyFont="1" applyBorder="1" applyAlignment="1" applyProtection="1">
      <alignment vertical="center"/>
    </xf>
    <xf numFmtId="164" fontId="7" fillId="0" borderId="35" xfId="1" applyFont="1" applyBorder="1" applyAlignment="1" applyProtection="1">
      <alignment vertic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20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0</xdr:colOff>
      <xdr:row>3</xdr:row>
      <xdr:rowOff>145676</xdr:rowOff>
    </xdr:from>
    <xdr:to>
      <xdr:col>25</xdr:col>
      <xdr:colOff>456505</xdr:colOff>
      <xdr:row>68</xdr:row>
      <xdr:rowOff>142141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289160" y="390600"/>
          <a:ext cx="8382240" cy="84952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</xdr:col>
      <xdr:colOff>0</xdr:colOff>
      <xdr:row>3</xdr:row>
      <xdr:rowOff>145676</xdr:rowOff>
    </xdr:from>
    <xdr:to>
      <xdr:col>25</xdr:col>
      <xdr:colOff>456505</xdr:colOff>
      <xdr:row>68</xdr:row>
      <xdr:rowOff>142141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289160" y="390600"/>
          <a:ext cx="8382240" cy="84952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</xdr:col>
      <xdr:colOff>0</xdr:colOff>
      <xdr:row>3</xdr:row>
      <xdr:rowOff>145676</xdr:rowOff>
    </xdr:from>
    <xdr:to>
      <xdr:col>25</xdr:col>
      <xdr:colOff>456505</xdr:colOff>
      <xdr:row>68</xdr:row>
      <xdr:rowOff>142141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289160" y="390600"/>
          <a:ext cx="8382240" cy="84952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</xdr:col>
      <xdr:colOff>0</xdr:colOff>
      <xdr:row>3</xdr:row>
      <xdr:rowOff>145676</xdr:rowOff>
    </xdr:from>
    <xdr:to>
      <xdr:col>25</xdr:col>
      <xdr:colOff>456505</xdr:colOff>
      <xdr:row>68</xdr:row>
      <xdr:rowOff>142141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289160" y="390600"/>
          <a:ext cx="8382240" cy="84952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</xdr:col>
      <xdr:colOff>0</xdr:colOff>
      <xdr:row>3</xdr:row>
      <xdr:rowOff>145676</xdr:rowOff>
    </xdr:from>
    <xdr:to>
      <xdr:col>25</xdr:col>
      <xdr:colOff>456505</xdr:colOff>
      <xdr:row>68</xdr:row>
      <xdr:rowOff>142141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1289160" y="390600"/>
          <a:ext cx="8382240" cy="84952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9"/>
  <sheetViews>
    <sheetView zoomScaleNormal="100" workbookViewId="0">
      <selection activeCell="F82" sqref="F82"/>
    </sheetView>
  </sheetViews>
  <sheetFormatPr defaultColWidth="9.140625" defaultRowHeight="15"/>
  <cols>
    <col min="2" max="2" width="22.42578125" customWidth="1"/>
    <col min="3" max="3" width="9.5703125" customWidth="1"/>
    <col min="4" max="4" width="8.85546875" customWidth="1"/>
    <col min="5" max="5" width="11.5703125" customWidth="1"/>
    <col min="6" max="6" width="12.85546875" customWidth="1"/>
    <col min="7" max="7" width="23.42578125" customWidth="1"/>
    <col min="8" max="8" width="8.7109375" customWidth="1"/>
    <col min="9" max="9" width="18.85546875" customWidth="1"/>
    <col min="10" max="10" width="12" customWidth="1"/>
    <col min="1017" max="1025" width="11.5703125" customWidth="1"/>
  </cols>
  <sheetData>
    <row r="1" spans="1:5">
      <c r="A1" s="1" t="s">
        <v>0</v>
      </c>
      <c r="B1" s="2"/>
      <c r="C1" s="1" t="s">
        <v>1</v>
      </c>
      <c r="D1" s="1" t="s">
        <v>2</v>
      </c>
      <c r="E1" s="1" t="s">
        <v>3</v>
      </c>
    </row>
    <row r="2" spans="1:5">
      <c r="A2" s="3" t="s">
        <v>4</v>
      </c>
      <c r="B2" s="4" t="s">
        <v>5</v>
      </c>
      <c r="C2" s="5">
        <v>200</v>
      </c>
      <c r="D2" s="6">
        <v>320</v>
      </c>
      <c r="E2" s="6">
        <v>1</v>
      </c>
    </row>
    <row r="3" spans="1:5">
      <c r="A3" s="3" t="s">
        <v>6</v>
      </c>
      <c r="B3" s="4" t="s">
        <v>5</v>
      </c>
      <c r="C3" s="5">
        <v>0</v>
      </c>
      <c r="D3" s="6">
        <v>400</v>
      </c>
      <c r="E3" s="6">
        <v>1</v>
      </c>
    </row>
    <row r="4" spans="1:5">
      <c r="A4" s="3" t="s">
        <v>7</v>
      </c>
      <c r="B4" s="4" t="s">
        <v>5</v>
      </c>
      <c r="C4" s="5">
        <v>0</v>
      </c>
      <c r="D4" s="6">
        <v>425</v>
      </c>
      <c r="E4" s="6">
        <v>1</v>
      </c>
    </row>
    <row r="5" spans="1:5">
      <c r="A5" s="3" t="s">
        <v>8</v>
      </c>
      <c r="B5" s="4" t="s">
        <v>5</v>
      </c>
      <c r="C5" s="5">
        <v>0</v>
      </c>
      <c r="D5" s="6">
        <v>435</v>
      </c>
      <c r="E5" s="6">
        <v>1</v>
      </c>
    </row>
    <row r="6" spans="1:5">
      <c r="A6" s="3" t="s">
        <v>9</v>
      </c>
      <c r="B6" s="4" t="s">
        <v>5</v>
      </c>
      <c r="C6" s="5">
        <v>0</v>
      </c>
      <c r="D6" s="6">
        <v>480</v>
      </c>
      <c r="E6" s="6">
        <v>1</v>
      </c>
    </row>
    <row r="7" spans="1:5">
      <c r="A7" s="3" t="s">
        <v>10</v>
      </c>
      <c r="B7" s="4" t="s">
        <v>5</v>
      </c>
      <c r="C7" s="5">
        <v>0</v>
      </c>
      <c r="D7" s="6">
        <v>430</v>
      </c>
      <c r="E7" s="6">
        <v>1</v>
      </c>
    </row>
    <row r="8" spans="1:5">
      <c r="A8" s="3" t="s">
        <v>11</v>
      </c>
      <c r="B8" s="4" t="s">
        <v>5</v>
      </c>
      <c r="C8" s="5">
        <v>0</v>
      </c>
      <c r="D8" s="6">
        <v>420</v>
      </c>
      <c r="E8" s="6">
        <v>1</v>
      </c>
    </row>
    <row r="9" spans="1:5">
      <c r="A9" s="7" t="s">
        <v>12</v>
      </c>
      <c r="B9" s="4" t="s">
        <v>5</v>
      </c>
      <c r="C9" s="5">
        <v>0.1</v>
      </c>
      <c r="D9" s="6">
        <v>460</v>
      </c>
      <c r="E9" s="6">
        <v>1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I36"/>
  <sheetViews>
    <sheetView zoomScaleNormal="100" workbookViewId="0">
      <selection activeCell="F82" sqref="F82"/>
    </sheetView>
  </sheetViews>
  <sheetFormatPr defaultColWidth="9.140625" defaultRowHeight="15"/>
  <cols>
    <col min="1" max="1" width="50" customWidth="1"/>
    <col min="2" max="2" width="22.42578125" customWidth="1"/>
    <col min="3" max="3" width="9.5703125" customWidth="1"/>
    <col min="4" max="4" width="8.85546875" customWidth="1"/>
    <col min="5" max="5" width="12.28515625" customWidth="1"/>
    <col min="6" max="6" width="23.42578125" customWidth="1"/>
    <col min="7" max="7" width="8.7109375" customWidth="1"/>
    <col min="8" max="8" width="18.85546875" customWidth="1"/>
    <col min="9" max="9" width="12" customWidth="1"/>
    <col min="1016" max="1021" width="11.5703125" customWidth="1"/>
    <col min="1022" max="1025" width="8.7109375" customWidth="1"/>
  </cols>
  <sheetData>
    <row r="1" spans="1:5">
      <c r="A1" s="8" t="s">
        <v>13</v>
      </c>
      <c r="B1" s="8" t="s">
        <v>14</v>
      </c>
      <c r="C1" s="9"/>
      <c r="D1" s="10">
        <v>1.26336873828513</v>
      </c>
      <c r="E1" s="8">
        <v>25</v>
      </c>
    </row>
    <row r="2" spans="1:5">
      <c r="A2" s="8" t="s">
        <v>15</v>
      </c>
      <c r="B2" s="8" t="s">
        <v>14</v>
      </c>
      <c r="C2" s="9"/>
      <c r="D2" s="10">
        <v>1.00303821039607</v>
      </c>
      <c r="E2" s="8">
        <v>25</v>
      </c>
    </row>
    <row r="3" spans="1:5">
      <c r="A3" s="8" t="s">
        <v>16</v>
      </c>
      <c r="B3" s="8" t="s">
        <v>14</v>
      </c>
      <c r="C3" s="9"/>
      <c r="D3" s="10">
        <v>1.94</v>
      </c>
      <c r="E3" s="8">
        <v>25</v>
      </c>
    </row>
    <row r="4" spans="1:5">
      <c r="A4" s="8" t="s">
        <v>17</v>
      </c>
      <c r="B4" s="8" t="s">
        <v>14</v>
      </c>
      <c r="C4" s="9"/>
      <c r="D4" s="10">
        <v>1.66</v>
      </c>
      <c r="E4" s="8">
        <v>25</v>
      </c>
    </row>
    <row r="5" spans="1:5" hidden="1">
      <c r="A5" s="8" t="s">
        <v>18</v>
      </c>
      <c r="B5" s="8" t="s">
        <v>14</v>
      </c>
      <c r="C5" s="9"/>
      <c r="D5" s="10">
        <v>1.2</v>
      </c>
      <c r="E5" s="8">
        <v>25</v>
      </c>
    </row>
    <row r="6" spans="1:5" hidden="1">
      <c r="A6" s="8" t="s">
        <v>19</v>
      </c>
      <c r="B6" s="8" t="s">
        <v>14</v>
      </c>
      <c r="C6" s="9"/>
      <c r="D6" s="10">
        <v>0.91115684761169702</v>
      </c>
      <c r="E6" s="8">
        <v>25</v>
      </c>
    </row>
    <row r="7" spans="1:5" hidden="1">
      <c r="A7" s="8" t="s">
        <v>20</v>
      </c>
      <c r="B7" s="8" t="s">
        <v>14</v>
      </c>
      <c r="C7" s="9"/>
      <c r="D7" s="10">
        <v>1.75</v>
      </c>
      <c r="E7" s="8">
        <v>25</v>
      </c>
    </row>
    <row r="8" spans="1:5" hidden="1">
      <c r="A8" s="8" t="s">
        <v>21</v>
      </c>
      <c r="B8" s="8" t="s">
        <v>14</v>
      </c>
      <c r="C8" s="9"/>
      <c r="D8" s="10">
        <v>1.5236992661741799</v>
      </c>
      <c r="E8" s="8">
        <v>25</v>
      </c>
    </row>
    <row r="9" spans="1:5">
      <c r="A9" s="8" t="s">
        <v>22</v>
      </c>
      <c r="B9" s="8" t="s">
        <v>14</v>
      </c>
      <c r="C9" s="9">
        <v>0</v>
      </c>
      <c r="D9" s="10">
        <v>1.17148737550075</v>
      </c>
      <c r="E9" s="8">
        <v>25</v>
      </c>
    </row>
    <row r="10" spans="1:5">
      <c r="A10" s="8" t="s">
        <v>23</v>
      </c>
      <c r="B10" s="8" t="s">
        <v>14</v>
      </c>
      <c r="C10" s="9">
        <v>0</v>
      </c>
      <c r="D10" s="10">
        <v>0.91115684761169702</v>
      </c>
      <c r="E10" s="8">
        <v>25</v>
      </c>
    </row>
    <row r="11" spans="1:5">
      <c r="A11" s="8" t="s">
        <v>24</v>
      </c>
      <c r="B11" s="8" t="s">
        <v>14</v>
      </c>
      <c r="C11" s="9">
        <v>40</v>
      </c>
      <c r="D11" s="10">
        <v>1.89</v>
      </c>
      <c r="E11" s="8">
        <v>25</v>
      </c>
    </row>
    <row r="12" spans="1:5">
      <c r="A12" s="8" t="s">
        <v>25</v>
      </c>
      <c r="B12" s="8" t="s">
        <v>14</v>
      </c>
      <c r="C12" s="9">
        <v>0</v>
      </c>
      <c r="D12" s="10">
        <v>1.66</v>
      </c>
      <c r="E12" s="8">
        <v>25</v>
      </c>
    </row>
    <row r="13" spans="1:5">
      <c r="A13" s="8" t="s">
        <v>26</v>
      </c>
      <c r="B13" s="8" t="s">
        <v>14</v>
      </c>
      <c r="C13" s="9">
        <v>0</v>
      </c>
      <c r="D13" s="10">
        <v>1.81</v>
      </c>
      <c r="E13" s="8">
        <v>25</v>
      </c>
    </row>
    <row r="14" spans="1:5">
      <c r="A14" s="8" t="s">
        <v>27</v>
      </c>
      <c r="B14" s="8" t="s">
        <v>14</v>
      </c>
      <c r="C14" s="9">
        <v>0</v>
      </c>
      <c r="D14" s="10">
        <v>1.56</v>
      </c>
      <c r="E14" s="8">
        <v>25</v>
      </c>
    </row>
    <row r="15" spans="1:5">
      <c r="A15" s="8" t="s">
        <v>28</v>
      </c>
      <c r="B15" s="8" t="s">
        <v>14</v>
      </c>
      <c r="C15" s="9">
        <v>0</v>
      </c>
      <c r="D15" s="10">
        <v>1.1408602545726301</v>
      </c>
      <c r="E15" s="8">
        <v>25</v>
      </c>
    </row>
    <row r="16" spans="1:5">
      <c r="A16" s="8" t="s">
        <v>29</v>
      </c>
      <c r="B16" s="8" t="s">
        <v>14</v>
      </c>
      <c r="C16" s="9">
        <v>0</v>
      </c>
      <c r="D16" s="10">
        <v>0.91115684761169702</v>
      </c>
      <c r="E16" s="8">
        <v>25</v>
      </c>
    </row>
    <row r="17" spans="1:9">
      <c r="A17" s="8" t="s">
        <v>30</v>
      </c>
      <c r="B17" s="8" t="s">
        <v>14</v>
      </c>
      <c r="C17" s="9">
        <v>0</v>
      </c>
      <c r="D17" s="10">
        <v>1.82</v>
      </c>
      <c r="E17" s="8">
        <v>25</v>
      </c>
    </row>
    <row r="18" spans="1:9">
      <c r="A18" s="8" t="s">
        <v>31</v>
      </c>
      <c r="B18" s="8" t="s">
        <v>14</v>
      </c>
      <c r="C18" s="9">
        <v>0</v>
      </c>
      <c r="D18" s="10">
        <v>1.57</v>
      </c>
      <c r="E18" s="8">
        <v>25</v>
      </c>
    </row>
    <row r="19" spans="1:9">
      <c r="A19" s="8" t="s">
        <v>32</v>
      </c>
      <c r="B19" s="8" t="s">
        <v>14</v>
      </c>
      <c r="C19" s="9">
        <v>0</v>
      </c>
      <c r="D19" s="10">
        <v>1.17148737550075</v>
      </c>
      <c r="E19" s="8">
        <v>25</v>
      </c>
    </row>
    <row r="20" spans="1:9">
      <c r="A20" s="8" t="s">
        <v>33</v>
      </c>
      <c r="B20" s="8" t="s">
        <v>14</v>
      </c>
      <c r="C20" s="9">
        <v>0</v>
      </c>
      <c r="D20" s="10">
        <v>0.94178396853982105</v>
      </c>
      <c r="E20" s="8">
        <v>25</v>
      </c>
    </row>
    <row r="21" spans="1:9">
      <c r="A21" s="8" t="s">
        <v>34</v>
      </c>
      <c r="B21" s="8" t="s">
        <v>14</v>
      </c>
      <c r="C21" s="9"/>
      <c r="D21" s="10">
        <v>2.04</v>
      </c>
      <c r="E21" s="8">
        <v>25</v>
      </c>
      <c r="H21" s="11"/>
      <c r="I21" s="11"/>
    </row>
    <row r="22" spans="1:9">
      <c r="A22" s="8" t="s">
        <v>35</v>
      </c>
      <c r="B22" s="8" t="s">
        <v>14</v>
      </c>
      <c r="C22" s="9"/>
      <c r="D22" s="10">
        <v>1.82</v>
      </c>
      <c r="E22" s="8">
        <v>25</v>
      </c>
      <c r="H22" s="11"/>
      <c r="I22" s="11"/>
    </row>
    <row r="23" spans="1:9">
      <c r="A23" s="8" t="s">
        <v>36</v>
      </c>
      <c r="B23" s="8" t="s">
        <v>14</v>
      </c>
      <c r="C23" s="9"/>
      <c r="D23" s="10">
        <v>1.35126857534884</v>
      </c>
      <c r="E23" s="8">
        <v>25</v>
      </c>
      <c r="H23" s="11"/>
      <c r="I23" s="11"/>
    </row>
    <row r="24" spans="1:9">
      <c r="A24" s="8" t="s">
        <v>37</v>
      </c>
      <c r="B24" s="8" t="s">
        <v>14</v>
      </c>
      <c r="C24" s="9"/>
      <c r="D24" s="10">
        <v>1.1521922893160399</v>
      </c>
      <c r="E24" s="8">
        <v>25</v>
      </c>
      <c r="G24" s="11"/>
    </row>
    <row r="25" spans="1:9">
      <c r="A25" s="8" t="s">
        <v>38</v>
      </c>
      <c r="B25" s="8" t="s">
        <v>14</v>
      </c>
      <c r="C25" s="9">
        <v>0</v>
      </c>
      <c r="D25" s="10">
        <v>2.09</v>
      </c>
      <c r="E25" s="8">
        <v>25</v>
      </c>
    </row>
    <row r="26" spans="1:9">
      <c r="A26" s="8" t="s">
        <v>39</v>
      </c>
      <c r="B26" s="8" t="s">
        <v>14</v>
      </c>
      <c r="C26" s="9">
        <v>0</v>
      </c>
      <c r="D26" s="10">
        <v>1.76</v>
      </c>
      <c r="E26" s="8">
        <v>25</v>
      </c>
    </row>
    <row r="27" spans="1:9">
      <c r="A27" s="8" t="s">
        <v>40</v>
      </c>
      <c r="B27" s="8" t="s">
        <v>14</v>
      </c>
      <c r="C27" s="9">
        <v>0</v>
      </c>
      <c r="D27" s="10">
        <v>1.40143579942911</v>
      </c>
      <c r="E27" s="8">
        <v>25</v>
      </c>
    </row>
    <row r="28" spans="1:9">
      <c r="A28" s="8" t="s">
        <v>41</v>
      </c>
      <c r="B28" s="8" t="s">
        <v>14</v>
      </c>
      <c r="C28" s="9">
        <v>0</v>
      </c>
      <c r="D28" s="10">
        <v>1.0951645901478699</v>
      </c>
      <c r="E28" s="8">
        <v>25</v>
      </c>
    </row>
    <row r="29" spans="1:9">
      <c r="A29" s="8" t="s">
        <v>42</v>
      </c>
      <c r="B29" s="8" t="s">
        <v>14</v>
      </c>
      <c r="C29" s="9"/>
      <c r="D29" s="10">
        <v>2.09</v>
      </c>
      <c r="E29" s="8">
        <v>25</v>
      </c>
    </row>
    <row r="30" spans="1:9">
      <c r="A30" s="8" t="s">
        <v>43</v>
      </c>
      <c r="B30" s="8" t="s">
        <v>14</v>
      </c>
      <c r="C30" s="9"/>
      <c r="D30" s="10">
        <v>1.8</v>
      </c>
      <c r="E30" s="8">
        <v>25</v>
      </c>
    </row>
    <row r="31" spans="1:9">
      <c r="A31" s="8" t="s">
        <v>44</v>
      </c>
      <c r="B31" s="8" t="s">
        <v>14</v>
      </c>
      <c r="C31" s="9"/>
      <c r="D31" s="10">
        <v>1.41674935989317</v>
      </c>
      <c r="E31" s="8">
        <v>25</v>
      </c>
    </row>
    <row r="32" spans="1:9">
      <c r="A32" s="8" t="s">
        <v>45</v>
      </c>
      <c r="B32" s="8" t="s">
        <v>14</v>
      </c>
      <c r="C32" s="9"/>
      <c r="D32" s="10">
        <v>1.0951645901478699</v>
      </c>
      <c r="E32" s="8">
        <v>25</v>
      </c>
    </row>
    <row r="33" spans="1:5">
      <c r="A33" s="8" t="s">
        <v>46</v>
      </c>
      <c r="B33" s="8" t="s">
        <v>14</v>
      </c>
      <c r="C33" s="9"/>
      <c r="D33" s="10">
        <v>2.14</v>
      </c>
      <c r="E33" s="8">
        <v>25</v>
      </c>
    </row>
    <row r="34" spans="1:5">
      <c r="A34" s="8" t="s">
        <v>47</v>
      </c>
      <c r="B34" s="8" t="s">
        <v>14</v>
      </c>
      <c r="C34" s="9"/>
      <c r="D34" s="10">
        <v>1.77</v>
      </c>
      <c r="E34" s="8">
        <v>25</v>
      </c>
    </row>
    <row r="35" spans="1:5">
      <c r="A35" s="8" t="s">
        <v>48</v>
      </c>
      <c r="B35" s="8" t="s">
        <v>14</v>
      </c>
      <c r="C35" s="9"/>
      <c r="D35" s="10">
        <v>1.4473764808213001</v>
      </c>
      <c r="E35" s="8">
        <v>25</v>
      </c>
    </row>
    <row r="36" spans="1:5">
      <c r="A36" s="8" t="s">
        <v>49</v>
      </c>
      <c r="B36" s="8" t="s">
        <v>14</v>
      </c>
      <c r="C36" s="9"/>
      <c r="D36" s="10">
        <v>1.1100000000000001</v>
      </c>
      <c r="E36" s="8">
        <v>25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pageSetUpPr fitToPage="1"/>
  </sheetPr>
  <dimension ref="A1:ALV80"/>
  <sheetViews>
    <sheetView topLeftCell="A33" zoomScale="85" zoomScaleNormal="85" workbookViewId="0">
      <selection activeCell="C22" sqref="C22"/>
    </sheetView>
  </sheetViews>
  <sheetFormatPr defaultColWidth="9.140625" defaultRowHeight="15"/>
  <cols>
    <col min="1" max="1" width="3.28515625" style="12" customWidth="1"/>
    <col min="2" max="2" width="44.5703125" style="13" bestFit="1" customWidth="1"/>
    <col min="3" max="3" width="53.7109375" style="12" customWidth="1"/>
    <col min="4" max="4" width="9.28515625" style="12" customWidth="1"/>
    <col min="5" max="5" width="12.5703125" style="12" customWidth="1"/>
    <col min="6" max="6" width="9.140625" style="12" hidden="1" customWidth="1"/>
    <col min="7" max="7" width="9.5703125" style="12" hidden="1" customWidth="1"/>
    <col min="8" max="8" width="9.28515625" style="12" hidden="1" customWidth="1"/>
    <col min="9" max="9" width="12" style="12" hidden="1" customWidth="1"/>
    <col min="10" max="10" width="11" style="12" hidden="1" customWidth="1"/>
    <col min="11" max="11" width="9.140625" style="14" hidden="1" customWidth="1"/>
    <col min="12" max="12" width="9.140625" style="12" hidden="1" customWidth="1"/>
    <col min="13" max="13" width="0" style="12" hidden="1" customWidth="1"/>
    <col min="14" max="1010" width="9.140625" style="12"/>
    <col min="1011" max="1024" width="8.7109375" customWidth="1"/>
  </cols>
  <sheetData>
    <row r="1" spans="1:14" s="12" customFormat="1" ht="12.75">
      <c r="A1" s="15"/>
      <c r="B1" s="16" t="s">
        <v>50</v>
      </c>
      <c r="C1" s="17" t="s">
        <v>51</v>
      </c>
      <c r="D1" s="18" t="s">
        <v>52</v>
      </c>
      <c r="E1" s="18" t="s">
        <v>3</v>
      </c>
      <c r="F1" s="12" t="s">
        <v>53</v>
      </c>
      <c r="G1" s="12" t="s">
        <v>54</v>
      </c>
      <c r="H1" s="18" t="s">
        <v>55</v>
      </c>
      <c r="I1" s="12" t="s">
        <v>56</v>
      </c>
      <c r="J1" s="12" t="s">
        <v>57</v>
      </c>
      <c r="K1" s="14"/>
    </row>
    <row r="2" spans="1:14" s="12" customFormat="1" ht="12.75">
      <c r="A2" s="15"/>
      <c r="B2" s="68" t="s">
        <v>133</v>
      </c>
      <c r="C2" s="17"/>
      <c r="D2" s="57"/>
      <c r="E2" s="18">
        <v>1000</v>
      </c>
      <c r="G2" s="24" t="e">
        <f>(D2-F2)/F2</f>
        <v>#DIV/0!</v>
      </c>
      <c r="H2" s="56">
        <v>0.495</v>
      </c>
      <c r="I2" s="25" t="e">
        <f>(H2-F2)/F2</f>
        <v>#DIV/0!</v>
      </c>
      <c r="J2" s="25" t="e">
        <f>G2-I2</f>
        <v>#DIV/0!</v>
      </c>
      <c r="K2" s="14">
        <v>1.8E-3</v>
      </c>
      <c r="L2" s="26" t="e">
        <f>G2-19%</f>
        <v>#DIV/0!</v>
      </c>
    </row>
    <row r="3" spans="1:14" s="12" customFormat="1" ht="12.75">
      <c r="A3" s="15"/>
      <c r="B3" s="68" t="s">
        <v>134</v>
      </c>
      <c r="C3" s="17"/>
      <c r="D3" s="57"/>
      <c r="E3" s="18">
        <v>1000</v>
      </c>
      <c r="G3" s="24" t="e">
        <f>(D3-F3)/F3</f>
        <v>#DIV/0!</v>
      </c>
      <c r="H3" s="56">
        <v>0.68500000000000005</v>
      </c>
      <c r="I3" s="25" t="e">
        <f>(H3-F3)/F3</f>
        <v>#DIV/0!</v>
      </c>
      <c r="J3" s="25" t="e">
        <f>G3-I3</f>
        <v>#DIV/0!</v>
      </c>
      <c r="K3" s="14">
        <v>1.8E-3</v>
      </c>
      <c r="L3" s="26" t="e">
        <f t="shared" ref="L3:L45" si="0">G3-19%</f>
        <v>#DIV/0!</v>
      </c>
    </row>
    <row r="4" spans="1:14" s="12" customFormat="1" ht="12.75">
      <c r="A4" s="15"/>
      <c r="B4" s="68" t="s">
        <v>135</v>
      </c>
      <c r="C4" s="17"/>
      <c r="D4" s="57"/>
      <c r="E4" s="18">
        <v>1000</v>
      </c>
      <c r="G4" s="24" t="e">
        <f>(D4-F4)/F4</f>
        <v>#DIV/0!</v>
      </c>
      <c r="H4" s="56">
        <v>0.88300000000000001</v>
      </c>
      <c r="I4" s="25" t="e">
        <f>(H4-F4)/F4</f>
        <v>#DIV/0!</v>
      </c>
      <c r="J4" s="25" t="e">
        <f>G4-I4</f>
        <v>#DIV/0!</v>
      </c>
      <c r="K4" s="14">
        <v>2E-3</v>
      </c>
      <c r="L4" s="26" t="e">
        <f t="shared" si="0"/>
        <v>#DIV/0!</v>
      </c>
    </row>
    <row r="5" spans="1:14" s="12" customFormat="1" ht="12.75">
      <c r="A5" s="15"/>
      <c r="B5" s="123"/>
      <c r="C5" s="124"/>
      <c r="D5" s="125"/>
      <c r="E5" s="126"/>
      <c r="G5" s="24"/>
      <c r="H5" s="126"/>
      <c r="I5" s="25"/>
      <c r="J5" s="25"/>
      <c r="K5" s="14"/>
      <c r="L5" s="26">
        <f t="shared" si="0"/>
        <v>-0.19</v>
      </c>
    </row>
    <row r="6" spans="1:14" s="12" customFormat="1">
      <c r="A6" s="61"/>
      <c r="B6" s="8" t="s">
        <v>176</v>
      </c>
      <c r="C6" s="17" t="s">
        <v>129</v>
      </c>
      <c r="D6" s="65">
        <v>63</v>
      </c>
      <c r="E6" s="18">
        <v>1</v>
      </c>
      <c r="F6" s="65">
        <v>45.57</v>
      </c>
      <c r="G6" s="131">
        <f t="shared" ref="G6:G23" si="1">(D6-F6)/F6</f>
        <v>0.38248847926267282</v>
      </c>
      <c r="H6" s="65">
        <v>50</v>
      </c>
      <c r="I6" s="132">
        <f t="shared" ref="I6:I23" si="2">(H6-F6)/F6</f>
        <v>9.7213078779899056E-2</v>
      </c>
      <c r="J6" s="132">
        <f t="shared" ref="J6:J23" si="3">G6-I6</f>
        <v>0.28527540048277378</v>
      </c>
      <c r="K6" s="133">
        <v>2.5000000000000001E-2</v>
      </c>
      <c r="L6" s="134">
        <f t="shared" ref="L6:L23" si="4">G6-19%</f>
        <v>0.19248847926267282</v>
      </c>
      <c r="N6" s="8"/>
    </row>
    <row r="7" spans="1:14" s="12" customFormat="1">
      <c r="A7" s="61"/>
      <c r="B7" s="8" t="s">
        <v>143</v>
      </c>
      <c r="C7" s="17" t="s">
        <v>129</v>
      </c>
      <c r="D7" s="65">
        <v>42</v>
      </c>
      <c r="E7" s="18">
        <v>1</v>
      </c>
      <c r="F7" s="65">
        <v>31.89</v>
      </c>
      <c r="G7" s="131">
        <f t="shared" si="1"/>
        <v>0.31702728127939789</v>
      </c>
      <c r="H7" s="65">
        <v>29.308858529843636</v>
      </c>
      <c r="I7" s="132">
        <f t="shared" si="2"/>
        <v>-8.0938898405655824E-2</v>
      </c>
      <c r="J7" s="132">
        <f t="shared" si="3"/>
        <v>0.39796617968505371</v>
      </c>
      <c r="K7" s="133">
        <v>2.5000000000000001E-2</v>
      </c>
      <c r="L7" s="134">
        <f t="shared" si="4"/>
        <v>0.12702728127939789</v>
      </c>
      <c r="N7" s="8"/>
    </row>
    <row r="8" spans="1:14" s="12" customFormat="1">
      <c r="A8" s="61"/>
      <c r="B8" s="8" t="s">
        <v>177</v>
      </c>
      <c r="C8" s="17" t="s">
        <v>129</v>
      </c>
      <c r="D8" s="65">
        <v>48</v>
      </c>
      <c r="E8" s="18">
        <v>1</v>
      </c>
      <c r="F8" s="65">
        <v>34.75</v>
      </c>
      <c r="G8" s="131">
        <f t="shared" si="1"/>
        <v>0.38129496402877699</v>
      </c>
      <c r="H8" s="65"/>
      <c r="I8" s="132">
        <f t="shared" si="2"/>
        <v>-1</v>
      </c>
      <c r="J8" s="132">
        <f t="shared" si="3"/>
        <v>1.3812949640287771</v>
      </c>
      <c r="K8" s="133">
        <v>2.5000000000000001E-2</v>
      </c>
      <c r="L8" s="134">
        <f t="shared" si="4"/>
        <v>0.19129496402877699</v>
      </c>
      <c r="N8" s="8"/>
    </row>
    <row r="9" spans="1:14" s="12" customFormat="1">
      <c r="A9" s="61"/>
      <c r="B9" s="8" t="s">
        <v>146</v>
      </c>
      <c r="C9" s="17" t="s">
        <v>129</v>
      </c>
      <c r="D9" s="65">
        <v>33.799999999999997</v>
      </c>
      <c r="E9" s="18">
        <v>1</v>
      </c>
      <c r="F9" s="65">
        <v>24.33</v>
      </c>
      <c r="G9" s="131">
        <f t="shared" si="1"/>
        <v>0.38923140156185776</v>
      </c>
      <c r="H9" s="65">
        <v>26</v>
      </c>
      <c r="I9" s="132">
        <f t="shared" si="2"/>
        <v>6.8639539662967611E-2</v>
      </c>
      <c r="J9" s="132">
        <f t="shared" si="3"/>
        <v>0.32059186189889016</v>
      </c>
      <c r="K9" s="133">
        <v>2.5000000000000001E-2</v>
      </c>
      <c r="L9" s="134">
        <f t="shared" si="4"/>
        <v>0.19923140156185776</v>
      </c>
      <c r="N9" s="8"/>
    </row>
    <row r="10" spans="1:14" s="12" customFormat="1">
      <c r="A10" s="61"/>
      <c r="B10" s="8" t="s">
        <v>178</v>
      </c>
      <c r="C10" s="17" t="s">
        <v>129</v>
      </c>
      <c r="D10" s="65">
        <v>47.5</v>
      </c>
      <c r="E10" s="18">
        <v>1</v>
      </c>
      <c r="F10" s="65">
        <v>34.159999999999997</v>
      </c>
      <c r="G10" s="131">
        <f t="shared" si="1"/>
        <v>0.39051522248243575</v>
      </c>
      <c r="H10" s="65"/>
      <c r="I10" s="132">
        <f t="shared" si="2"/>
        <v>-1</v>
      </c>
      <c r="J10" s="132">
        <f t="shared" si="3"/>
        <v>1.3905152224824358</v>
      </c>
      <c r="K10" s="133">
        <v>2.5000000000000001E-2</v>
      </c>
      <c r="L10" s="134">
        <f t="shared" si="4"/>
        <v>0.20051522248243575</v>
      </c>
      <c r="N10" s="8"/>
    </row>
    <row r="11" spans="1:14" s="12" customFormat="1">
      <c r="A11" s="61"/>
      <c r="B11" s="8" t="s">
        <v>169</v>
      </c>
      <c r="C11" s="17" t="s">
        <v>129</v>
      </c>
      <c r="D11" s="65">
        <v>33</v>
      </c>
      <c r="E11" s="18">
        <v>1</v>
      </c>
      <c r="F11" s="65">
        <v>23.92</v>
      </c>
      <c r="G11" s="131">
        <f t="shared" si="1"/>
        <v>0.37959866220735777</v>
      </c>
      <c r="H11" s="65">
        <v>25.448989972698449</v>
      </c>
      <c r="I11" s="132">
        <f t="shared" si="2"/>
        <v>6.3920985480704309E-2</v>
      </c>
      <c r="J11" s="132">
        <f t="shared" si="3"/>
        <v>0.31567767672665348</v>
      </c>
      <c r="K11" s="133">
        <v>2.5000000000000001E-2</v>
      </c>
      <c r="L11" s="134">
        <f t="shared" si="4"/>
        <v>0.18959866220735777</v>
      </c>
      <c r="N11" s="8"/>
    </row>
    <row r="12" spans="1:14" s="12" customFormat="1">
      <c r="A12" s="61"/>
      <c r="B12" s="8" t="s">
        <v>179</v>
      </c>
      <c r="C12" s="17" t="s">
        <v>129</v>
      </c>
      <c r="D12" s="65">
        <v>47.5</v>
      </c>
      <c r="E12" s="18">
        <v>1</v>
      </c>
      <c r="F12" s="65">
        <v>34.01</v>
      </c>
      <c r="G12" s="131">
        <f t="shared" si="1"/>
        <v>0.39664804469273751</v>
      </c>
      <c r="H12" s="65"/>
      <c r="I12" s="132">
        <f t="shared" si="2"/>
        <v>-1</v>
      </c>
      <c r="J12" s="132">
        <f t="shared" si="3"/>
        <v>1.3966480446927374</v>
      </c>
      <c r="K12" s="133">
        <v>2.5000000000000001E-2</v>
      </c>
      <c r="L12" s="134">
        <f t="shared" si="4"/>
        <v>0.20664804469273751</v>
      </c>
      <c r="N12" s="8"/>
    </row>
    <row r="13" spans="1:14" s="12" customFormat="1">
      <c r="A13" s="61"/>
      <c r="B13" s="8" t="s">
        <v>145</v>
      </c>
      <c r="C13" s="17" t="s">
        <v>129</v>
      </c>
      <c r="D13" s="65">
        <v>33</v>
      </c>
      <c r="E13" s="18">
        <v>1</v>
      </c>
      <c r="F13" s="65">
        <v>23.81</v>
      </c>
      <c r="G13" s="131">
        <f t="shared" si="1"/>
        <v>0.38597228055438898</v>
      </c>
      <c r="H13" s="65">
        <v>26</v>
      </c>
      <c r="I13" s="132">
        <f t="shared" si="2"/>
        <v>9.1978160436791329E-2</v>
      </c>
      <c r="J13" s="132">
        <f t="shared" si="3"/>
        <v>0.29399412011759762</v>
      </c>
      <c r="K13" s="133">
        <v>2.5000000000000001E-2</v>
      </c>
      <c r="L13" s="134">
        <f t="shared" si="4"/>
        <v>0.19597228055438898</v>
      </c>
      <c r="N13" s="8"/>
    </row>
    <row r="14" spans="1:14" s="12" customFormat="1">
      <c r="A14" s="61"/>
      <c r="B14" s="8" t="s">
        <v>180</v>
      </c>
      <c r="C14" s="17" t="s">
        <v>129</v>
      </c>
      <c r="D14" s="65">
        <v>55.5</v>
      </c>
      <c r="E14" s="18">
        <v>1</v>
      </c>
      <c r="F14" s="65">
        <v>39.9</v>
      </c>
      <c r="G14" s="131">
        <f t="shared" si="1"/>
        <v>0.39097744360902259</v>
      </c>
      <c r="H14" s="65"/>
      <c r="I14" s="132">
        <f t="shared" si="2"/>
        <v>-1</v>
      </c>
      <c r="J14" s="132">
        <f t="shared" si="3"/>
        <v>1.3909774436090225</v>
      </c>
      <c r="K14" s="133">
        <v>2.5000000000000001E-2</v>
      </c>
      <c r="L14" s="134">
        <f t="shared" si="4"/>
        <v>0.20097744360902259</v>
      </c>
      <c r="N14" s="8"/>
    </row>
    <row r="15" spans="1:14" s="12" customFormat="1">
      <c r="A15" s="61"/>
      <c r="B15" s="8" t="s">
        <v>144</v>
      </c>
      <c r="C15" s="17" t="s">
        <v>129</v>
      </c>
      <c r="D15" s="65">
        <v>39</v>
      </c>
      <c r="E15" s="18">
        <v>1</v>
      </c>
      <c r="F15" s="65">
        <v>27.93</v>
      </c>
      <c r="G15" s="131">
        <f t="shared" si="1"/>
        <v>0.39634801288936627</v>
      </c>
      <c r="H15" s="65">
        <v>30.568693153823052</v>
      </c>
      <c r="I15" s="132">
        <f t="shared" si="2"/>
        <v>9.4475229281169068E-2</v>
      </c>
      <c r="J15" s="132">
        <f t="shared" si="3"/>
        <v>0.30187278360819719</v>
      </c>
      <c r="K15" s="133">
        <v>2.5000000000000001E-2</v>
      </c>
      <c r="L15" s="134">
        <f t="shared" si="4"/>
        <v>0.20634801288936627</v>
      </c>
      <c r="N15"/>
    </row>
    <row r="16" spans="1:14" s="12" customFormat="1">
      <c r="A16" s="61"/>
      <c r="B16" s="8" t="s">
        <v>181</v>
      </c>
      <c r="C16" s="17" t="s">
        <v>129</v>
      </c>
      <c r="D16" s="65">
        <v>59</v>
      </c>
      <c r="E16" s="18">
        <v>1</v>
      </c>
      <c r="F16" s="65">
        <v>42.49</v>
      </c>
      <c r="G16" s="131">
        <f t="shared" si="1"/>
        <v>0.38856201459166856</v>
      </c>
      <c r="H16" s="65"/>
      <c r="I16" s="132">
        <f t="shared" si="2"/>
        <v>-1</v>
      </c>
      <c r="J16" s="132">
        <f t="shared" si="3"/>
        <v>1.3885620145916686</v>
      </c>
      <c r="K16" s="133">
        <v>2.5000000000000001E-2</v>
      </c>
      <c r="L16" s="134">
        <f t="shared" si="4"/>
        <v>0.19856201459166856</v>
      </c>
      <c r="N16"/>
    </row>
    <row r="17" spans="1:41" s="12" customFormat="1">
      <c r="A17" s="61"/>
      <c r="B17" s="8" t="s">
        <v>147</v>
      </c>
      <c r="C17" s="17" t="s">
        <v>129</v>
      </c>
      <c r="D17" s="65">
        <v>41</v>
      </c>
      <c r="E17" s="18">
        <v>1</v>
      </c>
      <c r="F17" s="65">
        <v>29.74</v>
      </c>
      <c r="G17" s="131">
        <f t="shared" si="1"/>
        <v>0.37861466039004715</v>
      </c>
      <c r="H17" s="65">
        <v>40.018634667274647</v>
      </c>
      <c r="I17" s="132">
        <f t="shared" si="2"/>
        <v>0.34561649856337084</v>
      </c>
      <c r="J17" s="132">
        <f t="shared" si="3"/>
        <v>3.2998161826676309E-2</v>
      </c>
      <c r="K17" s="133">
        <v>2.5000000000000001E-2</v>
      </c>
      <c r="L17" s="134">
        <f t="shared" si="4"/>
        <v>0.18861466039004715</v>
      </c>
      <c r="N17"/>
    </row>
    <row r="18" spans="1:41" s="12" customFormat="1">
      <c r="A18" s="61"/>
      <c r="B18" s="8" t="s">
        <v>182</v>
      </c>
      <c r="C18" s="17" t="s">
        <v>129</v>
      </c>
      <c r="D18" s="65">
        <v>48.5</v>
      </c>
      <c r="E18" s="18">
        <v>1</v>
      </c>
      <c r="F18" s="65">
        <v>34.92</v>
      </c>
      <c r="G18" s="131">
        <f t="shared" si="1"/>
        <v>0.38888888888888884</v>
      </c>
      <c r="H18" s="65"/>
      <c r="I18" s="132">
        <f t="shared" si="2"/>
        <v>-1</v>
      </c>
      <c r="J18" s="132">
        <f t="shared" si="3"/>
        <v>1.3888888888888888</v>
      </c>
      <c r="K18" s="133">
        <v>2.5000000000000001E-2</v>
      </c>
      <c r="L18" s="134">
        <f t="shared" si="4"/>
        <v>0.19888888888888884</v>
      </c>
      <c r="N18"/>
    </row>
    <row r="19" spans="1:41" s="12" customFormat="1">
      <c r="A19" s="61"/>
      <c r="B19" s="8" t="s">
        <v>149</v>
      </c>
      <c r="C19" s="17" t="s">
        <v>129</v>
      </c>
      <c r="D19" s="65">
        <v>34</v>
      </c>
      <c r="E19" s="18">
        <v>1</v>
      </c>
      <c r="F19" s="65">
        <v>24.44</v>
      </c>
      <c r="G19" s="131">
        <f t="shared" si="1"/>
        <v>0.39116202945990175</v>
      </c>
      <c r="H19" s="65">
        <v>28.878671097265304</v>
      </c>
      <c r="I19" s="132">
        <f t="shared" si="2"/>
        <v>0.18161502034637081</v>
      </c>
      <c r="J19" s="132">
        <f t="shared" si="3"/>
        <v>0.20954700911353094</v>
      </c>
      <c r="K19" s="133">
        <v>2.5000000000000001E-2</v>
      </c>
      <c r="L19" s="134">
        <f t="shared" si="4"/>
        <v>0.20116202945990175</v>
      </c>
      <c r="N19"/>
    </row>
    <row r="20" spans="1:41" s="12" customFormat="1">
      <c r="A20" s="61"/>
      <c r="B20" s="8" t="s">
        <v>183</v>
      </c>
      <c r="C20" s="17" t="s">
        <v>129</v>
      </c>
      <c r="D20" s="65">
        <v>46.8</v>
      </c>
      <c r="E20" s="18">
        <v>1</v>
      </c>
      <c r="F20" s="65">
        <v>33.479999999999997</v>
      </c>
      <c r="G20" s="131">
        <f t="shared" si="1"/>
        <v>0.39784946236559143</v>
      </c>
      <c r="H20" s="65"/>
      <c r="I20" s="132">
        <f t="shared" si="2"/>
        <v>-1</v>
      </c>
      <c r="J20" s="132">
        <f t="shared" si="3"/>
        <v>1.3978494623655915</v>
      </c>
      <c r="K20" s="133">
        <v>2.5000000000000001E-2</v>
      </c>
      <c r="L20" s="134">
        <f t="shared" si="4"/>
        <v>0.20784946236559143</v>
      </c>
      <c r="N20"/>
    </row>
    <row r="21" spans="1:41" s="12" customFormat="1">
      <c r="A21" s="61"/>
      <c r="B21" s="8" t="s">
        <v>148</v>
      </c>
      <c r="C21" s="17" t="s">
        <v>129</v>
      </c>
      <c r="D21" s="65">
        <v>33</v>
      </c>
      <c r="E21" s="18">
        <v>1</v>
      </c>
      <c r="F21" s="65">
        <v>23.44</v>
      </c>
      <c r="G21" s="131">
        <f t="shared" si="1"/>
        <v>0.40784982935153574</v>
      </c>
      <c r="H21" s="65">
        <v>26.942827650662782</v>
      </c>
      <c r="I21" s="132">
        <f t="shared" si="2"/>
        <v>0.14943803970404354</v>
      </c>
      <c r="J21" s="132">
        <f t="shared" si="3"/>
        <v>0.25841178964749223</v>
      </c>
      <c r="K21" s="133">
        <v>2.5000000000000001E-2</v>
      </c>
      <c r="L21" s="134">
        <f t="shared" si="4"/>
        <v>0.21784982935153574</v>
      </c>
      <c r="N21"/>
    </row>
    <row r="22" spans="1:41" s="12" customFormat="1">
      <c r="A22" s="61"/>
      <c r="B22" s="8" t="s">
        <v>184</v>
      </c>
      <c r="C22" s="17" t="s">
        <v>129</v>
      </c>
      <c r="D22" s="65">
        <v>50</v>
      </c>
      <c r="E22" s="18">
        <v>1</v>
      </c>
      <c r="F22" s="15">
        <v>36.78</v>
      </c>
      <c r="G22" s="131">
        <f t="shared" si="1"/>
        <v>0.35943447525829253</v>
      </c>
      <c r="H22" s="18"/>
      <c r="I22" s="132">
        <f t="shared" si="2"/>
        <v>-1</v>
      </c>
      <c r="J22" s="132">
        <f t="shared" si="3"/>
        <v>1.3594344752582925</v>
      </c>
      <c r="K22" s="133">
        <v>2.5000000000000001E-2</v>
      </c>
      <c r="L22" s="134">
        <f t="shared" si="4"/>
        <v>0.16943447525829253</v>
      </c>
      <c r="N22"/>
    </row>
    <row r="23" spans="1:41" s="12" customFormat="1">
      <c r="A23" s="61"/>
      <c r="B23" s="8" t="s">
        <v>174</v>
      </c>
      <c r="C23" s="17" t="s">
        <v>129</v>
      </c>
      <c r="D23" s="65">
        <v>35.5</v>
      </c>
      <c r="E23" s="18">
        <v>1</v>
      </c>
      <c r="F23" s="65">
        <v>25.75</v>
      </c>
      <c r="G23" s="131">
        <f t="shared" si="1"/>
        <v>0.37864077669902912</v>
      </c>
      <c r="H23" s="65">
        <v>25.895723075760571</v>
      </c>
      <c r="I23" s="132">
        <f t="shared" si="2"/>
        <v>5.6591485732260744E-3</v>
      </c>
      <c r="J23" s="132">
        <f t="shared" si="3"/>
        <v>0.37298162812580304</v>
      </c>
      <c r="K23" s="133">
        <v>2.5000000000000001E-2</v>
      </c>
      <c r="L23" s="134">
        <f t="shared" si="4"/>
        <v>0.18864077669902912</v>
      </c>
    </row>
    <row r="24" spans="1:41" s="12" customFormat="1" ht="12.75">
      <c r="A24" s="15"/>
      <c r="B24" s="127"/>
      <c r="C24" s="128"/>
      <c r="D24" s="129"/>
      <c r="E24" s="130"/>
      <c r="G24" s="24"/>
      <c r="H24" s="130"/>
      <c r="I24" s="25"/>
      <c r="J24" s="25"/>
      <c r="K24" s="14"/>
      <c r="L24" s="26"/>
    </row>
    <row r="25" spans="1:41" s="12" customFormat="1" ht="12.75">
      <c r="A25" s="19"/>
      <c r="B25" s="20" t="s">
        <v>58</v>
      </c>
      <c r="C25" s="21"/>
      <c r="D25" s="22">
        <v>99</v>
      </c>
      <c r="E25" s="22">
        <v>5</v>
      </c>
      <c r="F25" s="23">
        <v>70</v>
      </c>
      <c r="G25" s="24">
        <f t="shared" ref="G25:G34" si="5">(D25-F25)/F25</f>
        <v>0.41428571428571431</v>
      </c>
      <c r="H25" s="22">
        <v>99.52</v>
      </c>
      <c r="I25" s="25">
        <f>(H25-F25)/F25</f>
        <v>0.42171428571428565</v>
      </c>
      <c r="J25" s="25">
        <f>G25-I25</f>
        <v>-7.42857142857134E-3</v>
      </c>
      <c r="K25" s="14">
        <v>0.04</v>
      </c>
      <c r="L25" s="26">
        <f t="shared" ref="L25:L34" si="6">G25-19%</f>
        <v>0.22428571428571431</v>
      </c>
    </row>
    <row r="26" spans="1:41" s="12" customFormat="1" ht="12.75">
      <c r="A26" s="27"/>
      <c r="B26" s="67" t="s">
        <v>150</v>
      </c>
      <c r="C26" s="21"/>
      <c r="D26" s="22">
        <v>90</v>
      </c>
      <c r="E26" s="22">
        <v>5</v>
      </c>
      <c r="F26" s="23">
        <v>60</v>
      </c>
      <c r="G26" s="24">
        <f t="shared" si="5"/>
        <v>0.5</v>
      </c>
      <c r="H26" s="22">
        <v>33</v>
      </c>
      <c r="I26" s="25">
        <f>(H26-F26)/F26</f>
        <v>-0.45</v>
      </c>
      <c r="J26" s="25">
        <f>G26-I26</f>
        <v>0.95</v>
      </c>
      <c r="K26" s="14">
        <v>0.01</v>
      </c>
      <c r="L26" s="26">
        <f t="shared" si="6"/>
        <v>0.31</v>
      </c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</row>
    <row r="27" spans="1:41" s="12" customFormat="1" ht="12.75">
      <c r="A27" s="27"/>
      <c r="B27" s="67" t="s">
        <v>175</v>
      </c>
      <c r="C27" s="21"/>
      <c r="D27" s="22">
        <v>198</v>
      </c>
      <c r="E27" s="22">
        <v>5</v>
      </c>
      <c r="F27" s="23">
        <v>165</v>
      </c>
      <c r="G27" s="24">
        <f t="shared" si="5"/>
        <v>0.2</v>
      </c>
      <c r="H27" s="22"/>
      <c r="I27" s="25"/>
      <c r="J27" s="25">
        <f t="shared" ref="J27:J28" si="7">G27-I27</f>
        <v>0.2</v>
      </c>
      <c r="K27" s="14">
        <v>4.0000000000000001E-3</v>
      </c>
      <c r="L27" s="26">
        <f t="shared" si="6"/>
        <v>1.0000000000000009E-2</v>
      </c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</row>
    <row r="28" spans="1:41" s="12" customFormat="1" ht="12.75">
      <c r="A28" s="27"/>
      <c r="B28" s="67" t="s">
        <v>160</v>
      </c>
      <c r="C28" s="21"/>
      <c r="D28" s="22">
        <v>66</v>
      </c>
      <c r="E28" s="22">
        <v>5</v>
      </c>
      <c r="F28" s="23">
        <v>53</v>
      </c>
      <c r="G28" s="24">
        <f t="shared" si="5"/>
        <v>0.24528301886792453</v>
      </c>
      <c r="H28" s="22"/>
      <c r="I28" s="25"/>
      <c r="J28" s="25">
        <f t="shared" si="7"/>
        <v>0.24528301886792453</v>
      </c>
      <c r="K28" s="14">
        <v>4.0000000000000001E-3</v>
      </c>
      <c r="L28" s="26">
        <f t="shared" si="6"/>
        <v>5.5283018867924527E-2</v>
      </c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</row>
    <row r="29" spans="1:41" s="12" customFormat="1" ht="12.75">
      <c r="A29" s="27"/>
      <c r="B29" s="28" t="s">
        <v>59</v>
      </c>
      <c r="C29" s="15"/>
      <c r="D29" s="29">
        <v>107</v>
      </c>
      <c r="E29" s="29">
        <v>2</v>
      </c>
      <c r="F29" s="12">
        <v>79</v>
      </c>
      <c r="G29" s="14">
        <f t="shared" si="5"/>
        <v>0.35443037974683544</v>
      </c>
      <c r="H29" s="29">
        <v>94.53</v>
      </c>
      <c r="I29" s="25">
        <f t="shared" ref="I29:I34" si="8">(H29-F29)/F29</f>
        <v>0.19658227848101267</v>
      </c>
      <c r="J29" s="25">
        <f t="shared" ref="J29:J34" si="9">G29-I29</f>
        <v>0.15784810126582277</v>
      </c>
      <c r="K29" s="14">
        <v>0.04</v>
      </c>
      <c r="L29" s="26">
        <f t="shared" si="6"/>
        <v>0.16443037974683544</v>
      </c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</row>
    <row r="30" spans="1:41" s="12" customFormat="1" ht="12.75">
      <c r="A30" s="27"/>
      <c r="B30" s="31" t="s">
        <v>60</v>
      </c>
      <c r="C30" s="21" t="s">
        <v>61</v>
      </c>
      <c r="D30" s="22">
        <v>49.5</v>
      </c>
      <c r="E30" s="22">
        <v>1</v>
      </c>
      <c r="F30" s="23">
        <v>42</v>
      </c>
      <c r="G30" s="24">
        <f t="shared" si="5"/>
        <v>0.17857142857142858</v>
      </c>
      <c r="H30" s="22">
        <v>47</v>
      </c>
      <c r="I30" s="25">
        <f t="shared" si="8"/>
        <v>0.11904761904761904</v>
      </c>
      <c r="J30" s="25">
        <f t="shared" si="9"/>
        <v>5.9523809523809534E-2</v>
      </c>
      <c r="K30" s="14">
        <v>4.0000000000000001E-3</v>
      </c>
      <c r="L30" s="26">
        <f t="shared" si="6"/>
        <v>-1.1428571428571427E-2</v>
      </c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</row>
    <row r="31" spans="1:41" s="12" customFormat="1" ht="12.75">
      <c r="A31" s="32"/>
      <c r="B31" s="71" t="s">
        <v>140</v>
      </c>
      <c r="C31" s="21" t="s">
        <v>62</v>
      </c>
      <c r="D31" s="22">
        <v>66</v>
      </c>
      <c r="E31" s="22">
        <v>2</v>
      </c>
      <c r="F31" s="23">
        <v>47.5</v>
      </c>
      <c r="G31" s="24">
        <f t="shared" si="5"/>
        <v>0.38947368421052631</v>
      </c>
      <c r="H31" s="22">
        <v>58</v>
      </c>
      <c r="I31" s="25">
        <f t="shared" si="8"/>
        <v>0.22105263157894736</v>
      </c>
      <c r="J31" s="25">
        <f t="shared" si="9"/>
        <v>0.16842105263157894</v>
      </c>
      <c r="K31" s="14">
        <v>0.04</v>
      </c>
      <c r="L31" s="26">
        <f t="shared" si="6"/>
        <v>0.1994736842105263</v>
      </c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</row>
    <row r="32" spans="1:41" s="12" customFormat="1" ht="12.75">
      <c r="A32" s="32"/>
      <c r="B32" s="20" t="s">
        <v>63</v>
      </c>
      <c r="C32" s="21" t="s">
        <v>64</v>
      </c>
      <c r="D32" s="22">
        <v>26</v>
      </c>
      <c r="E32" s="22">
        <v>2</v>
      </c>
      <c r="F32" s="23">
        <v>16</v>
      </c>
      <c r="G32" s="24">
        <f t="shared" si="5"/>
        <v>0.625</v>
      </c>
      <c r="H32" s="22">
        <v>21</v>
      </c>
      <c r="I32" s="25">
        <f t="shared" si="8"/>
        <v>0.3125</v>
      </c>
      <c r="J32" s="25">
        <f t="shared" si="9"/>
        <v>0.3125</v>
      </c>
      <c r="K32" s="14">
        <v>0.04</v>
      </c>
      <c r="L32" s="26">
        <f t="shared" si="6"/>
        <v>0.435</v>
      </c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</row>
    <row r="33" spans="1:41" s="12" customFormat="1" ht="12.75">
      <c r="A33" s="32"/>
      <c r="B33" s="20" t="s">
        <v>163</v>
      </c>
      <c r="C33" s="21"/>
      <c r="D33" s="22">
        <v>72</v>
      </c>
      <c r="E33" s="22">
        <v>5</v>
      </c>
      <c r="F33" s="23">
        <v>47</v>
      </c>
      <c r="G33" s="24">
        <f t="shared" si="5"/>
        <v>0.53191489361702127</v>
      </c>
      <c r="H33" s="22">
        <v>68</v>
      </c>
      <c r="I33" s="25">
        <f t="shared" si="8"/>
        <v>0.44680851063829785</v>
      </c>
      <c r="J33" s="25">
        <f t="shared" si="9"/>
        <v>8.5106382978723416E-2</v>
      </c>
      <c r="K33" s="14">
        <v>0.04</v>
      </c>
      <c r="L33" s="26">
        <f t="shared" si="6"/>
        <v>0.34191489361702126</v>
      </c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</row>
    <row r="34" spans="1:41" s="12" customFormat="1" ht="12.75">
      <c r="A34" s="32"/>
      <c r="B34" s="20" t="s">
        <v>141</v>
      </c>
      <c r="C34" s="21"/>
      <c r="D34" s="22">
        <v>40</v>
      </c>
      <c r="E34" s="22">
        <v>2</v>
      </c>
      <c r="F34" s="23">
        <v>25</v>
      </c>
      <c r="G34" s="24">
        <f t="shared" si="5"/>
        <v>0.6</v>
      </c>
      <c r="H34" s="22">
        <v>30</v>
      </c>
      <c r="I34" s="25">
        <f t="shared" si="8"/>
        <v>0.2</v>
      </c>
      <c r="J34" s="25">
        <f t="shared" si="9"/>
        <v>0.39999999999999997</v>
      </c>
      <c r="K34" s="14">
        <v>0.04</v>
      </c>
      <c r="L34" s="26">
        <f t="shared" si="6"/>
        <v>0.41</v>
      </c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</row>
    <row r="35" spans="1:41" s="12" customFormat="1" ht="12.75">
      <c r="A35" s="27"/>
      <c r="B35" s="27"/>
      <c r="C35" s="27"/>
      <c r="D35" s="27"/>
      <c r="E35" s="27"/>
      <c r="F35" s="23"/>
      <c r="G35" s="24"/>
      <c r="H35" s="27"/>
      <c r="I35" s="25"/>
      <c r="J35" s="25"/>
      <c r="K35" s="14"/>
      <c r="L35" s="26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</row>
    <row r="36" spans="1:41" s="12" customFormat="1" ht="12.75">
      <c r="A36" s="27"/>
      <c r="B36" s="67" t="s">
        <v>152</v>
      </c>
      <c r="C36" s="21"/>
      <c r="D36" s="22">
        <v>9.5</v>
      </c>
      <c r="E36" s="22">
        <v>5</v>
      </c>
      <c r="F36" s="23">
        <v>7.5</v>
      </c>
      <c r="G36" s="24">
        <f t="shared" ref="G36:G43" si="10">(D36-F36)/F36</f>
        <v>0.26666666666666666</v>
      </c>
      <c r="H36" s="22">
        <v>8.5</v>
      </c>
      <c r="I36" s="25"/>
      <c r="J36" s="25"/>
      <c r="K36" s="14">
        <v>4.0000000000000001E-3</v>
      </c>
      <c r="L36" s="26">
        <f t="shared" ref="L36:L43" si="11">G36-19%</f>
        <v>7.6666666666666661E-2</v>
      </c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</row>
    <row r="37" spans="1:41" s="12" customFormat="1" ht="12.75">
      <c r="A37" s="27"/>
      <c r="B37" s="67" t="s">
        <v>151</v>
      </c>
      <c r="C37" s="21" t="s">
        <v>132</v>
      </c>
      <c r="D37" s="22">
        <v>34</v>
      </c>
      <c r="E37" s="22">
        <v>5</v>
      </c>
      <c r="F37" s="23">
        <v>26</v>
      </c>
      <c r="G37" s="24">
        <f t="shared" si="10"/>
        <v>0.30769230769230771</v>
      </c>
      <c r="H37" s="22">
        <v>35</v>
      </c>
      <c r="I37" s="25">
        <f>(H37-F37)/F37</f>
        <v>0.34615384615384615</v>
      </c>
      <c r="J37" s="25">
        <f>G37-I37</f>
        <v>-3.8461538461538436E-2</v>
      </c>
      <c r="K37" s="14">
        <v>7.0000000000000001E-3</v>
      </c>
      <c r="L37" s="26">
        <f t="shared" si="11"/>
        <v>0.11769230769230771</v>
      </c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</row>
    <row r="38" spans="1:41" s="12" customFormat="1" ht="12.75">
      <c r="A38" s="27"/>
      <c r="B38" s="67" t="s">
        <v>164</v>
      </c>
      <c r="C38" s="21" t="s">
        <v>65</v>
      </c>
      <c r="D38" s="22">
        <v>6.1</v>
      </c>
      <c r="E38" s="22">
        <v>20</v>
      </c>
      <c r="F38" s="23">
        <v>4.9000000000000004</v>
      </c>
      <c r="G38" s="24">
        <f t="shared" si="10"/>
        <v>0.2448979591836733</v>
      </c>
      <c r="H38" s="22">
        <v>9</v>
      </c>
      <c r="I38" s="25">
        <f>(H38-F38)/F38</f>
        <v>0.83673469387755084</v>
      </c>
      <c r="J38" s="25">
        <f>G38-I38</f>
        <v>-0.59183673469387754</v>
      </c>
      <c r="K38" s="14">
        <v>4.0000000000000001E-3</v>
      </c>
      <c r="L38" s="26">
        <f t="shared" si="11"/>
        <v>5.4897959183673295E-2</v>
      </c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</row>
    <row r="39" spans="1:41" s="12" customFormat="1" ht="12.75">
      <c r="A39" s="27"/>
      <c r="B39" s="30" t="s">
        <v>66</v>
      </c>
      <c r="C39" s="21"/>
      <c r="D39" s="22">
        <v>68.5</v>
      </c>
      <c r="E39" s="22">
        <v>5</v>
      </c>
      <c r="F39" s="23">
        <v>57</v>
      </c>
      <c r="G39" s="24">
        <f t="shared" si="10"/>
        <v>0.20175438596491227</v>
      </c>
      <c r="H39" s="22">
        <v>62</v>
      </c>
      <c r="I39" s="25">
        <f>(H39-F39)/F39</f>
        <v>8.771929824561403E-2</v>
      </c>
      <c r="J39" s="25">
        <f>G39-I39</f>
        <v>0.11403508771929824</v>
      </c>
      <c r="K39" s="14">
        <v>4.0000000000000001E-3</v>
      </c>
      <c r="L39" s="26">
        <f t="shared" si="11"/>
        <v>1.1754385964912267E-2</v>
      </c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</row>
    <row r="40" spans="1:41" s="12" customFormat="1" ht="12.75">
      <c r="A40" s="27"/>
      <c r="B40" s="30" t="s">
        <v>173</v>
      </c>
      <c r="C40" s="21"/>
      <c r="D40" s="22">
        <v>220</v>
      </c>
      <c r="E40" s="22">
        <v>0.35</v>
      </c>
      <c r="F40" s="23">
        <v>180</v>
      </c>
      <c r="G40" s="24">
        <f t="shared" si="10"/>
        <v>0.22222222222222221</v>
      </c>
      <c r="H40" s="22"/>
      <c r="I40" s="25"/>
      <c r="J40" s="25"/>
      <c r="K40" s="14"/>
      <c r="L40" s="26">
        <f t="shared" si="11"/>
        <v>3.2222222222222208E-2</v>
      </c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</row>
    <row r="41" spans="1:41" s="12" customFormat="1" ht="12.75">
      <c r="A41" s="27"/>
      <c r="B41" s="30" t="s">
        <v>67</v>
      </c>
      <c r="C41" s="21" t="s">
        <v>68</v>
      </c>
      <c r="D41" s="22">
        <v>14</v>
      </c>
      <c r="E41" s="22">
        <v>20</v>
      </c>
      <c r="F41" s="23">
        <v>10</v>
      </c>
      <c r="G41" s="24">
        <f t="shared" si="10"/>
        <v>0.4</v>
      </c>
      <c r="H41" s="22">
        <v>11.5</v>
      </c>
      <c r="I41" s="25">
        <f>(H41-F41)/F41</f>
        <v>0.15</v>
      </c>
      <c r="J41" s="25">
        <f>G41-I41</f>
        <v>0.25</v>
      </c>
      <c r="K41" s="14">
        <v>7.0000000000000001E-3</v>
      </c>
      <c r="L41" s="26">
        <f t="shared" si="11"/>
        <v>0.21000000000000002</v>
      </c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</row>
    <row r="42" spans="1:41" s="12" customFormat="1" ht="12.75">
      <c r="A42" s="27"/>
      <c r="B42" s="66" t="s">
        <v>130</v>
      </c>
      <c r="C42" s="21"/>
      <c r="D42" s="22">
        <v>546</v>
      </c>
      <c r="E42" s="22">
        <v>0.86</v>
      </c>
      <c r="F42" s="23">
        <v>465</v>
      </c>
      <c r="G42" s="24">
        <f t="shared" si="10"/>
        <v>0.17419354838709677</v>
      </c>
      <c r="H42" s="22">
        <v>520</v>
      </c>
      <c r="I42" s="25">
        <f>(H42-F42)/F42</f>
        <v>0.11827956989247312</v>
      </c>
      <c r="J42" s="25">
        <f>G42-I42</f>
        <v>5.5913978494623651E-2</v>
      </c>
      <c r="K42" s="14">
        <v>4.0000000000000001E-3</v>
      </c>
      <c r="L42" s="26">
        <f t="shared" si="11"/>
        <v>-1.5806451612903227E-2</v>
      </c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</row>
    <row r="43" spans="1:41" s="12" customFormat="1" ht="12.75">
      <c r="A43" s="27"/>
      <c r="B43" s="67" t="s">
        <v>153</v>
      </c>
      <c r="C43" s="21"/>
      <c r="D43" s="22">
        <v>88</v>
      </c>
      <c r="E43" s="22">
        <v>5</v>
      </c>
      <c r="F43" s="23">
        <v>72</v>
      </c>
      <c r="G43" s="24">
        <f t="shared" si="10"/>
        <v>0.22222222222222221</v>
      </c>
      <c r="H43" s="22">
        <v>76</v>
      </c>
      <c r="I43" s="25">
        <f>(H43-F43)/F43</f>
        <v>5.5555555555555552E-2</v>
      </c>
      <c r="J43" s="25">
        <f>G43-I43</f>
        <v>0.16666666666666666</v>
      </c>
      <c r="K43" s="14">
        <v>4.0000000000000001E-3</v>
      </c>
      <c r="L43" s="26">
        <f t="shared" si="11"/>
        <v>3.2222222222222208E-2</v>
      </c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</row>
    <row r="44" spans="1:41" s="12" customFormat="1" ht="12.75">
      <c r="A44" s="27"/>
      <c r="B44" s="27"/>
      <c r="C44" s="27"/>
      <c r="D44" s="27"/>
      <c r="E44" s="27"/>
      <c r="F44" s="23"/>
      <c r="G44" s="24"/>
      <c r="H44" s="27"/>
      <c r="I44" s="25"/>
      <c r="J44" s="25"/>
      <c r="K44" s="14"/>
      <c r="L44" s="26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</row>
    <row r="45" spans="1:41" s="12" customFormat="1" ht="12.75">
      <c r="A45" s="27"/>
      <c r="B45" s="33" t="s">
        <v>69</v>
      </c>
      <c r="C45" s="21" t="s">
        <v>70</v>
      </c>
      <c r="D45" s="22">
        <v>57</v>
      </c>
      <c r="E45" s="22">
        <v>1</v>
      </c>
      <c r="F45" s="23">
        <v>43.73</v>
      </c>
      <c r="G45" s="24">
        <f t="shared" ref="G45" si="12">(D45-F45)/F45</f>
        <v>0.30345300708895506</v>
      </c>
      <c r="H45" s="22">
        <v>48</v>
      </c>
      <c r="I45" s="25">
        <f t="shared" ref="I45" si="13">(H45-F45)/F45</f>
        <v>9.7644637548593718E-2</v>
      </c>
      <c r="J45" s="25">
        <f t="shared" ref="J45" si="14">G45-I45</f>
        <v>0.20580836954036136</v>
      </c>
      <c r="K45" s="14">
        <v>0.01</v>
      </c>
      <c r="L45" s="26">
        <f t="shared" si="0"/>
        <v>0.11345300708895506</v>
      </c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</row>
    <row r="46" spans="1:41" s="12" customFormat="1" ht="12.75">
      <c r="A46" s="19"/>
      <c r="B46" s="66" t="s">
        <v>131</v>
      </c>
      <c r="C46" s="30" t="s">
        <v>71</v>
      </c>
      <c r="D46" s="34">
        <v>52</v>
      </c>
      <c r="E46" s="34">
        <v>0.25</v>
      </c>
      <c r="F46" s="12">
        <v>41.76</v>
      </c>
      <c r="G46" s="14">
        <f t="shared" ref="G46:G56" si="15">(D46-F46)/F46</f>
        <v>0.24521072796934873</v>
      </c>
      <c r="H46" s="34">
        <v>47</v>
      </c>
      <c r="I46" s="25">
        <f>(H46-F46)/F46</f>
        <v>0.12547892720306519</v>
      </c>
      <c r="J46" s="25">
        <f>G46-I46</f>
        <v>0.11973180076628354</v>
      </c>
      <c r="K46" s="14">
        <v>4.0000000000000001E-3</v>
      </c>
      <c r="L46" s="26">
        <f t="shared" ref="L46:L56" si="16">G46-19%</f>
        <v>5.5210727969348727E-2</v>
      </c>
    </row>
    <row r="47" spans="1:41" s="12" customFormat="1" ht="12.75">
      <c r="A47" s="19"/>
      <c r="B47" s="33" t="s">
        <v>154</v>
      </c>
      <c r="C47" s="21" t="s">
        <v>72</v>
      </c>
      <c r="D47" s="34">
        <v>90</v>
      </c>
      <c r="E47" s="34">
        <v>1</v>
      </c>
      <c r="F47" s="12">
        <v>70</v>
      </c>
      <c r="G47" s="14">
        <f t="shared" si="15"/>
        <v>0.2857142857142857</v>
      </c>
      <c r="H47" s="34">
        <v>98</v>
      </c>
      <c r="I47" s="25">
        <f>(H47-F47)/F47</f>
        <v>0.4</v>
      </c>
      <c r="J47" s="25">
        <f>G47-I47</f>
        <v>-0.11428571428571432</v>
      </c>
      <c r="K47" s="14">
        <v>4.0000000000000001E-3</v>
      </c>
      <c r="L47" s="26">
        <f t="shared" si="16"/>
        <v>9.5714285714285696E-2</v>
      </c>
    </row>
    <row r="48" spans="1:41" s="12" customFormat="1" ht="12.75">
      <c r="A48" s="19"/>
      <c r="B48" s="33" t="s">
        <v>161</v>
      </c>
      <c r="C48" s="21"/>
      <c r="D48" s="34">
        <v>44</v>
      </c>
      <c r="E48" s="34">
        <v>5</v>
      </c>
      <c r="F48" s="12">
        <v>36</v>
      </c>
      <c r="G48" s="14">
        <f t="shared" si="15"/>
        <v>0.22222222222222221</v>
      </c>
      <c r="H48" s="34">
        <v>40</v>
      </c>
      <c r="I48" s="25">
        <f t="shared" ref="I48:I56" si="17">(H48-F48)/F48</f>
        <v>0.1111111111111111</v>
      </c>
      <c r="J48" s="25">
        <f t="shared" ref="J48:J56" si="18">G48-I48</f>
        <v>0.1111111111111111</v>
      </c>
      <c r="K48" s="14">
        <v>4.0000000000000001E-3</v>
      </c>
      <c r="L48" s="26">
        <f t="shared" si="16"/>
        <v>3.2222222222222208E-2</v>
      </c>
    </row>
    <row r="49" spans="1:12" s="12" customFormat="1" ht="12.75">
      <c r="A49" s="19"/>
      <c r="B49" s="33" t="s">
        <v>142</v>
      </c>
      <c r="C49" s="21"/>
      <c r="D49" s="34">
        <v>33</v>
      </c>
      <c r="E49" s="34">
        <v>5</v>
      </c>
      <c r="F49" s="12">
        <v>24.5</v>
      </c>
      <c r="G49" s="14">
        <f t="shared" si="15"/>
        <v>0.34693877551020408</v>
      </c>
      <c r="H49" s="34">
        <v>27.5</v>
      </c>
      <c r="I49" s="25">
        <f t="shared" si="17"/>
        <v>0.12244897959183673</v>
      </c>
      <c r="J49" s="25">
        <f t="shared" si="18"/>
        <v>0.22448979591836735</v>
      </c>
      <c r="K49" s="14">
        <v>0.01</v>
      </c>
      <c r="L49" s="26">
        <f t="shared" si="16"/>
        <v>0.15693877551020408</v>
      </c>
    </row>
    <row r="50" spans="1:12" s="12" customFormat="1" ht="12.75">
      <c r="A50" s="19"/>
      <c r="B50" s="33" t="s">
        <v>171</v>
      </c>
      <c r="C50" s="21"/>
      <c r="D50" s="34">
        <v>17</v>
      </c>
      <c r="E50" s="34">
        <v>5</v>
      </c>
      <c r="F50" s="12">
        <v>13</v>
      </c>
      <c r="G50" s="14">
        <f t="shared" si="15"/>
        <v>0.30769230769230771</v>
      </c>
      <c r="H50" s="34">
        <v>15.5</v>
      </c>
      <c r="I50" s="25">
        <f t="shared" si="17"/>
        <v>0.19230769230769232</v>
      </c>
      <c r="J50" s="25">
        <f t="shared" si="18"/>
        <v>0.11538461538461539</v>
      </c>
      <c r="K50" s="14">
        <v>7.0000000000000001E-3</v>
      </c>
      <c r="L50" s="26">
        <f t="shared" si="16"/>
        <v>0.11769230769230771</v>
      </c>
    </row>
    <row r="51" spans="1:12" s="12" customFormat="1" ht="12.75">
      <c r="A51" s="19"/>
      <c r="B51" s="30" t="s">
        <v>155</v>
      </c>
      <c r="C51" s="21" t="s">
        <v>73</v>
      </c>
      <c r="D51" s="34">
        <v>11.8</v>
      </c>
      <c r="E51" s="34">
        <v>5</v>
      </c>
      <c r="F51" s="12">
        <v>9</v>
      </c>
      <c r="G51" s="14">
        <f t="shared" si="15"/>
        <v>0.31111111111111117</v>
      </c>
      <c r="H51" s="34">
        <v>12</v>
      </c>
      <c r="I51" s="25">
        <f t="shared" si="17"/>
        <v>0.33333333333333331</v>
      </c>
      <c r="J51" s="25">
        <f t="shared" si="18"/>
        <v>-2.2222222222222143E-2</v>
      </c>
      <c r="K51" s="14">
        <v>7.0000000000000001E-3</v>
      </c>
      <c r="L51" s="26">
        <f t="shared" si="16"/>
        <v>0.12111111111111117</v>
      </c>
    </row>
    <row r="52" spans="1:12" s="12" customFormat="1" ht="12.75">
      <c r="A52" s="19"/>
      <c r="B52" s="67" t="s">
        <v>156</v>
      </c>
      <c r="C52" s="21"/>
      <c r="D52" s="34">
        <v>19.8</v>
      </c>
      <c r="E52" s="34">
        <v>5</v>
      </c>
      <c r="F52" s="12">
        <v>14.5</v>
      </c>
      <c r="G52" s="14">
        <f t="shared" si="15"/>
        <v>0.36551724137931041</v>
      </c>
      <c r="H52" s="34">
        <v>18</v>
      </c>
      <c r="I52" s="25">
        <f t="shared" si="17"/>
        <v>0.2413793103448276</v>
      </c>
      <c r="J52" s="25">
        <f t="shared" si="18"/>
        <v>0.12413793103448281</v>
      </c>
      <c r="K52" s="14">
        <v>0.01</v>
      </c>
      <c r="L52" s="26">
        <f t="shared" si="16"/>
        <v>0.17551724137931041</v>
      </c>
    </row>
    <row r="53" spans="1:12" s="12" customFormat="1" ht="12.75">
      <c r="A53" s="19"/>
      <c r="B53" s="67" t="s">
        <v>172</v>
      </c>
      <c r="C53" s="21"/>
      <c r="D53" s="34">
        <v>111</v>
      </c>
      <c r="E53" s="34">
        <v>5</v>
      </c>
      <c r="F53" s="12">
        <v>92</v>
      </c>
      <c r="G53" s="14">
        <f t="shared" si="15"/>
        <v>0.20652173913043478</v>
      </c>
      <c r="H53" s="34">
        <v>100</v>
      </c>
      <c r="I53" s="25">
        <f t="shared" si="17"/>
        <v>8.6956521739130432E-2</v>
      </c>
      <c r="J53" s="25">
        <f t="shared" si="18"/>
        <v>0.11956521739130435</v>
      </c>
      <c r="K53" s="14">
        <v>0.01</v>
      </c>
      <c r="L53" s="26">
        <f t="shared" si="16"/>
        <v>1.6521739130434782E-2</v>
      </c>
    </row>
    <row r="54" spans="1:12" s="12" customFormat="1" ht="12.75">
      <c r="A54" s="19"/>
      <c r="B54" s="67" t="s">
        <v>159</v>
      </c>
      <c r="C54" s="21"/>
      <c r="D54" s="34">
        <v>35</v>
      </c>
      <c r="E54" s="34">
        <v>5</v>
      </c>
      <c r="F54" s="12">
        <v>27.85</v>
      </c>
      <c r="G54" s="14">
        <f t="shared" si="15"/>
        <v>0.2567324955116696</v>
      </c>
      <c r="H54" s="34">
        <v>30</v>
      </c>
      <c r="I54" s="25">
        <f t="shared" si="17"/>
        <v>7.7199281867145364E-2</v>
      </c>
      <c r="J54" s="25">
        <f t="shared" si="18"/>
        <v>0.17953321364452424</v>
      </c>
      <c r="K54" s="14">
        <v>4.0000000000000001E-3</v>
      </c>
      <c r="L54" s="26">
        <f t="shared" si="16"/>
        <v>6.6732495511669598E-2</v>
      </c>
    </row>
    <row r="55" spans="1:12" s="12" customFormat="1" ht="12.75">
      <c r="A55" s="19"/>
      <c r="B55" s="30" t="s">
        <v>74</v>
      </c>
      <c r="C55" s="21" t="s">
        <v>75</v>
      </c>
      <c r="D55" s="34">
        <v>37</v>
      </c>
      <c r="E55" s="34">
        <v>1</v>
      </c>
      <c r="F55" s="12">
        <v>30</v>
      </c>
      <c r="G55" s="14">
        <f t="shared" si="15"/>
        <v>0.23333333333333334</v>
      </c>
      <c r="H55" s="34">
        <v>36</v>
      </c>
      <c r="I55" s="25">
        <f t="shared" si="17"/>
        <v>0.2</v>
      </c>
      <c r="J55" s="25">
        <f t="shared" si="18"/>
        <v>3.3333333333333326E-2</v>
      </c>
      <c r="K55" s="14">
        <v>7.0000000000000001E-3</v>
      </c>
      <c r="L55" s="26">
        <f t="shared" si="16"/>
        <v>4.3333333333333335E-2</v>
      </c>
    </row>
    <row r="56" spans="1:12" s="12" customFormat="1" ht="12.75">
      <c r="A56" s="19"/>
      <c r="B56" s="33" t="s">
        <v>76</v>
      </c>
      <c r="C56" s="21"/>
      <c r="D56" s="34">
        <v>19.5</v>
      </c>
      <c r="E56" s="34">
        <v>5</v>
      </c>
      <c r="F56" s="12">
        <v>12.5</v>
      </c>
      <c r="G56" s="14">
        <f t="shared" si="15"/>
        <v>0.56000000000000005</v>
      </c>
      <c r="H56" s="34">
        <v>15.5</v>
      </c>
      <c r="I56" s="25">
        <f t="shared" si="17"/>
        <v>0.24</v>
      </c>
      <c r="J56" s="25">
        <f t="shared" si="18"/>
        <v>0.32000000000000006</v>
      </c>
      <c r="K56" s="14">
        <v>0.01</v>
      </c>
      <c r="L56" s="26">
        <f t="shared" si="16"/>
        <v>0.37000000000000005</v>
      </c>
    </row>
    <row r="57" spans="1:12" s="12" customFormat="1" ht="12.75">
      <c r="A57" s="19"/>
      <c r="B57" s="19"/>
      <c r="C57" s="19"/>
      <c r="D57" s="19"/>
      <c r="E57" s="19"/>
      <c r="G57" s="14"/>
      <c r="H57" s="19"/>
      <c r="I57" s="25"/>
      <c r="J57" s="25"/>
      <c r="K57" s="14"/>
      <c r="L57" s="26"/>
    </row>
    <row r="58" spans="1:12" s="12" customFormat="1" ht="12.75" customHeight="1">
      <c r="A58" s="19"/>
      <c r="B58" s="31" t="s">
        <v>158</v>
      </c>
      <c r="C58" s="21"/>
      <c r="D58" s="34">
        <v>28</v>
      </c>
      <c r="E58" s="34">
        <v>5</v>
      </c>
      <c r="F58" s="12">
        <v>23</v>
      </c>
      <c r="G58" s="14">
        <f t="shared" ref="G58:G66" si="19">(D58-F58)/F58</f>
        <v>0.21739130434782608</v>
      </c>
      <c r="H58" s="34">
        <v>26</v>
      </c>
      <c r="I58" s="25">
        <f t="shared" ref="I58:I66" si="20">(H58-F58)/F58</f>
        <v>0.13043478260869565</v>
      </c>
      <c r="J58" s="25">
        <f t="shared" ref="J58:J66" si="21">G58-I58</f>
        <v>8.6956521739130432E-2</v>
      </c>
      <c r="K58" s="14">
        <v>4.0000000000000001E-3</v>
      </c>
      <c r="L58" s="26">
        <f t="shared" ref="L58:L66" si="22">G58-19%</f>
        <v>2.7391304347826079E-2</v>
      </c>
    </row>
    <row r="59" spans="1:12" s="12" customFormat="1" ht="12.75">
      <c r="A59" s="19"/>
      <c r="B59" s="31" t="s">
        <v>125</v>
      </c>
      <c r="C59" s="21" t="s">
        <v>79</v>
      </c>
      <c r="D59" s="34">
        <v>64</v>
      </c>
      <c r="E59" s="34">
        <v>5</v>
      </c>
      <c r="F59" s="12">
        <v>56</v>
      </c>
      <c r="G59" s="14">
        <f t="shared" si="19"/>
        <v>0.14285714285714285</v>
      </c>
      <c r="H59" s="34">
        <v>62.85</v>
      </c>
      <c r="I59" s="25">
        <f t="shared" si="20"/>
        <v>0.12232142857142859</v>
      </c>
      <c r="J59" s="25">
        <f t="shared" si="21"/>
        <v>2.0535714285714254E-2</v>
      </c>
      <c r="K59" s="14">
        <v>4.0000000000000001E-3</v>
      </c>
      <c r="L59" s="26">
        <f t="shared" si="22"/>
        <v>-4.7142857142857153E-2</v>
      </c>
    </row>
    <row r="60" spans="1:12" s="12" customFormat="1" ht="12.75">
      <c r="A60" s="19"/>
      <c r="B60" s="20" t="s">
        <v>80</v>
      </c>
      <c r="C60" s="21" t="s">
        <v>81</v>
      </c>
      <c r="D60" s="34">
        <v>17.5</v>
      </c>
      <c r="E60" s="34">
        <v>5</v>
      </c>
      <c r="F60" s="12">
        <v>8.5</v>
      </c>
      <c r="G60" s="14">
        <f t="shared" si="19"/>
        <v>1.0588235294117647</v>
      </c>
      <c r="H60" s="34">
        <v>12</v>
      </c>
      <c r="I60" s="25">
        <f t="shared" si="20"/>
        <v>0.41176470588235292</v>
      </c>
      <c r="J60" s="25">
        <f t="shared" si="21"/>
        <v>0.6470588235294118</v>
      </c>
      <c r="K60" s="14">
        <v>0.01</v>
      </c>
      <c r="L60" s="26">
        <f t="shared" si="22"/>
        <v>0.86882352941176477</v>
      </c>
    </row>
    <row r="61" spans="1:12" s="12" customFormat="1" ht="12.75">
      <c r="A61" s="19"/>
      <c r="B61" s="21" t="s">
        <v>165</v>
      </c>
      <c r="C61" s="31" t="s">
        <v>82</v>
      </c>
      <c r="D61" s="34">
        <v>5.9</v>
      </c>
      <c r="E61" s="34">
        <v>15</v>
      </c>
      <c r="F61" s="12">
        <v>4.8499999999999996</v>
      </c>
      <c r="G61" s="14">
        <f t="shared" si="19"/>
        <v>0.21649484536082492</v>
      </c>
      <c r="H61" s="34">
        <v>5.5</v>
      </c>
      <c r="I61" s="25">
        <f t="shared" si="20"/>
        <v>0.13402061855670111</v>
      </c>
      <c r="J61" s="25">
        <f t="shared" si="21"/>
        <v>8.2474226804123807E-2</v>
      </c>
      <c r="K61" s="14">
        <v>4.0000000000000001E-3</v>
      </c>
      <c r="L61" s="26">
        <f t="shared" si="22"/>
        <v>2.6494845360824915E-2</v>
      </c>
    </row>
    <row r="62" spans="1:12" s="12" customFormat="1" ht="12.75">
      <c r="A62" s="19"/>
      <c r="B62" s="21" t="s">
        <v>83</v>
      </c>
      <c r="C62" s="31" t="s">
        <v>84</v>
      </c>
      <c r="D62" s="34">
        <v>23.8</v>
      </c>
      <c r="E62" s="34">
        <v>5</v>
      </c>
      <c r="F62" s="12">
        <v>19.8</v>
      </c>
      <c r="G62" s="14">
        <f t="shared" si="19"/>
        <v>0.20202020202020202</v>
      </c>
      <c r="H62" s="34">
        <v>21.5</v>
      </c>
      <c r="I62" s="25">
        <f t="shared" si="20"/>
        <v>8.5858585858585815E-2</v>
      </c>
      <c r="J62" s="25">
        <f t="shared" si="21"/>
        <v>0.1161616161616162</v>
      </c>
      <c r="K62" s="14">
        <v>4.0000000000000001E-3</v>
      </c>
      <c r="L62" s="26">
        <f t="shared" si="22"/>
        <v>1.2020202020202014E-2</v>
      </c>
    </row>
    <row r="63" spans="1:12" s="12" customFormat="1" ht="12.75">
      <c r="A63" s="19"/>
      <c r="B63" s="31" t="s">
        <v>85</v>
      </c>
      <c r="C63" s="21" t="s">
        <v>86</v>
      </c>
      <c r="D63" s="34">
        <v>76</v>
      </c>
      <c r="E63" s="34">
        <v>5</v>
      </c>
      <c r="F63" s="12">
        <v>62</v>
      </c>
      <c r="G63" s="14">
        <f t="shared" si="19"/>
        <v>0.22580645161290322</v>
      </c>
      <c r="H63" s="34">
        <v>74</v>
      </c>
      <c r="I63" s="25">
        <f t="shared" si="20"/>
        <v>0.19354838709677419</v>
      </c>
      <c r="J63" s="25">
        <f t="shared" si="21"/>
        <v>3.2258064516129031E-2</v>
      </c>
      <c r="K63" s="14">
        <v>4.0000000000000001E-3</v>
      </c>
      <c r="L63" s="26">
        <f t="shared" si="22"/>
        <v>3.5806451612903217E-2</v>
      </c>
    </row>
    <row r="64" spans="1:12" s="12" customFormat="1" ht="12.75">
      <c r="A64" s="19"/>
      <c r="B64" s="16" t="s">
        <v>157</v>
      </c>
      <c r="C64" s="31" t="s">
        <v>78</v>
      </c>
      <c r="D64" s="34">
        <v>5.8</v>
      </c>
      <c r="E64" s="34">
        <v>20</v>
      </c>
      <c r="F64" s="12">
        <v>4.3</v>
      </c>
      <c r="G64" s="14">
        <f t="shared" si="19"/>
        <v>0.34883720930232559</v>
      </c>
      <c r="H64" s="34">
        <v>5</v>
      </c>
      <c r="I64" s="25">
        <f t="shared" si="20"/>
        <v>0.16279069767441864</v>
      </c>
      <c r="J64" s="25">
        <f t="shared" si="21"/>
        <v>0.18604651162790695</v>
      </c>
      <c r="K64" s="14">
        <v>0.01</v>
      </c>
      <c r="L64" s="26">
        <f t="shared" si="22"/>
        <v>0.15883720930232559</v>
      </c>
    </row>
    <row r="65" spans="1:12" s="12" customFormat="1" ht="12.75">
      <c r="A65" s="19"/>
      <c r="B65" s="31" t="s">
        <v>87</v>
      </c>
      <c r="C65" s="21"/>
      <c r="D65" s="34">
        <v>42.5</v>
      </c>
      <c r="E65" s="34">
        <v>10</v>
      </c>
      <c r="F65" s="12">
        <v>36.5</v>
      </c>
      <c r="G65" s="14">
        <f t="shared" si="19"/>
        <v>0.16438356164383561</v>
      </c>
      <c r="H65" s="34">
        <v>40</v>
      </c>
      <c r="I65" s="25">
        <f t="shared" si="20"/>
        <v>9.5890410958904104E-2</v>
      </c>
      <c r="J65" s="25">
        <f t="shared" si="21"/>
        <v>6.8493150684931503E-2</v>
      </c>
      <c r="K65" s="14">
        <v>7.0000000000000001E-3</v>
      </c>
      <c r="L65" s="26">
        <f t="shared" si="22"/>
        <v>-2.5616438356164395E-2</v>
      </c>
    </row>
    <row r="66" spans="1:12" s="12" customFormat="1" ht="12.75">
      <c r="A66" s="19"/>
      <c r="B66" s="21" t="s">
        <v>166</v>
      </c>
      <c r="C66" s="21" t="s">
        <v>88</v>
      </c>
      <c r="D66" s="34">
        <v>40</v>
      </c>
      <c r="E66" s="34">
        <v>10</v>
      </c>
      <c r="F66" s="12">
        <v>31</v>
      </c>
      <c r="G66" s="14">
        <f t="shared" si="19"/>
        <v>0.29032258064516131</v>
      </c>
      <c r="H66" s="34">
        <v>37</v>
      </c>
      <c r="I66" s="25">
        <f t="shared" si="20"/>
        <v>0.19354838709677419</v>
      </c>
      <c r="J66" s="25">
        <f t="shared" si="21"/>
        <v>9.6774193548387122E-2</v>
      </c>
      <c r="K66" s="14">
        <v>7.0000000000000001E-3</v>
      </c>
      <c r="L66" s="26">
        <f t="shared" si="22"/>
        <v>0.10032258064516131</v>
      </c>
    </row>
    <row r="67" spans="1:12" s="12" customFormat="1" ht="12.75">
      <c r="A67" s="19"/>
      <c r="B67" s="19"/>
      <c r="C67" s="19"/>
      <c r="D67" s="19"/>
      <c r="E67" s="19"/>
      <c r="G67" s="14"/>
      <c r="H67" s="19"/>
      <c r="I67" s="25"/>
      <c r="J67" s="25"/>
      <c r="K67" s="14"/>
      <c r="L67" s="26"/>
    </row>
    <row r="68" spans="1:12" s="12" customFormat="1">
      <c r="A68" s="19"/>
      <c r="B68" s="35" t="s">
        <v>89</v>
      </c>
      <c r="C68" s="60"/>
      <c r="D68" s="36">
        <v>11.5</v>
      </c>
      <c r="E68" s="15">
        <v>25</v>
      </c>
      <c r="F68" s="12">
        <v>7</v>
      </c>
      <c r="G68" s="14">
        <f t="shared" ref="G68:G80" si="23">(D68-F68)/F68</f>
        <v>0.6428571428571429</v>
      </c>
      <c r="H68" s="36">
        <v>8.4700000000000006</v>
      </c>
      <c r="I68" s="25">
        <f t="shared" ref="I68:I80" si="24">(H68-F68)/F68</f>
        <v>0.2100000000000001</v>
      </c>
      <c r="J68" s="25">
        <f t="shared" ref="J68:J80" si="25">G68-I68</f>
        <v>0.43285714285714283</v>
      </c>
      <c r="K68" s="14">
        <v>0.04</v>
      </c>
      <c r="L68" s="26">
        <f t="shared" ref="L68:L80" si="26">G68-19%</f>
        <v>0.4528571428571429</v>
      </c>
    </row>
    <row r="69" spans="1:12" s="12" customFormat="1">
      <c r="A69" s="37"/>
      <c r="B69" s="35" t="s">
        <v>90</v>
      </c>
      <c r="C69" s="60"/>
      <c r="D69" s="36">
        <v>31.8</v>
      </c>
      <c r="E69" s="15">
        <v>10</v>
      </c>
      <c r="F69" s="12">
        <v>22.5</v>
      </c>
      <c r="G69" s="14">
        <f t="shared" si="23"/>
        <v>0.41333333333333339</v>
      </c>
      <c r="H69" s="36">
        <v>28</v>
      </c>
      <c r="I69" s="25">
        <f t="shared" si="24"/>
        <v>0.24444444444444444</v>
      </c>
      <c r="J69" s="25">
        <f t="shared" si="25"/>
        <v>0.16888888888888895</v>
      </c>
      <c r="K69" s="14">
        <v>0.04</v>
      </c>
      <c r="L69" s="26">
        <f t="shared" si="26"/>
        <v>0.22333333333333338</v>
      </c>
    </row>
    <row r="70" spans="1:12">
      <c r="B70" s="35" t="s">
        <v>91</v>
      </c>
      <c r="C70" s="61"/>
      <c r="D70" s="15">
        <v>28.85</v>
      </c>
      <c r="E70" s="15">
        <v>10</v>
      </c>
      <c r="F70" s="12">
        <v>19.5</v>
      </c>
      <c r="G70" s="14">
        <f t="shared" si="23"/>
        <v>0.47948717948717956</v>
      </c>
      <c r="H70" s="15">
        <v>25</v>
      </c>
      <c r="I70" s="25">
        <f t="shared" si="24"/>
        <v>0.28205128205128205</v>
      </c>
      <c r="J70" s="25">
        <f t="shared" si="25"/>
        <v>0.19743589743589751</v>
      </c>
      <c r="K70" s="14">
        <v>0.04</v>
      </c>
      <c r="L70" s="26">
        <f t="shared" si="26"/>
        <v>0.28948717948717956</v>
      </c>
    </row>
    <row r="71" spans="1:12">
      <c r="B71" s="16" t="s">
        <v>92</v>
      </c>
      <c r="C71" s="23" t="s">
        <v>93</v>
      </c>
      <c r="D71" s="34">
        <v>8</v>
      </c>
      <c r="E71" s="34">
        <v>5</v>
      </c>
      <c r="F71" s="12">
        <v>5.5</v>
      </c>
      <c r="G71" s="14">
        <f t="shared" si="23"/>
        <v>0.45454545454545453</v>
      </c>
      <c r="H71" s="38">
        <v>6.5</v>
      </c>
      <c r="I71" s="25">
        <f t="shared" si="24"/>
        <v>0.18181818181818182</v>
      </c>
      <c r="J71" s="25">
        <f t="shared" si="25"/>
        <v>0.27272727272727271</v>
      </c>
      <c r="K71" s="14">
        <v>0.04</v>
      </c>
      <c r="L71" s="26">
        <f t="shared" si="26"/>
        <v>0.26454545454545453</v>
      </c>
    </row>
    <row r="72" spans="1:12">
      <c r="B72" s="70" t="s">
        <v>167</v>
      </c>
      <c r="C72" s="60"/>
      <c r="D72" s="36">
        <v>31.85</v>
      </c>
      <c r="E72" s="15">
        <v>10</v>
      </c>
      <c r="F72" s="12">
        <v>22.8</v>
      </c>
      <c r="G72" s="14">
        <f t="shared" si="23"/>
        <v>0.39692982456140352</v>
      </c>
      <c r="H72" s="36">
        <v>27</v>
      </c>
      <c r="I72" s="25">
        <f t="shared" si="24"/>
        <v>0.18421052631578944</v>
      </c>
      <c r="J72" s="25">
        <f t="shared" si="25"/>
        <v>0.21271929824561409</v>
      </c>
      <c r="K72" s="14">
        <v>0.04</v>
      </c>
      <c r="L72" s="26">
        <f t="shared" si="26"/>
        <v>0.20692982456140352</v>
      </c>
    </row>
    <row r="73" spans="1:12">
      <c r="B73" s="70" t="s">
        <v>168</v>
      </c>
      <c r="C73" s="60"/>
      <c r="D73" s="36">
        <v>6</v>
      </c>
      <c r="E73" s="15">
        <v>10</v>
      </c>
      <c r="F73" s="12">
        <v>4.4000000000000004</v>
      </c>
      <c r="G73" s="14">
        <f t="shared" si="23"/>
        <v>0.36363636363636354</v>
      </c>
      <c r="H73" s="36">
        <v>5</v>
      </c>
      <c r="I73" s="25">
        <f t="shared" si="24"/>
        <v>0.13636363636363627</v>
      </c>
      <c r="J73" s="25">
        <f t="shared" si="25"/>
        <v>0.22727272727272727</v>
      </c>
      <c r="K73" s="14">
        <v>0.04</v>
      </c>
      <c r="L73" s="26">
        <f t="shared" si="26"/>
        <v>0.17363636363636353</v>
      </c>
    </row>
    <row r="74" spans="1:12">
      <c r="B74" s="35" t="s">
        <v>94</v>
      </c>
      <c r="C74" s="62"/>
      <c r="D74" s="39">
        <v>4.3</v>
      </c>
      <c r="E74" s="39">
        <v>20</v>
      </c>
      <c r="F74" s="12">
        <v>2.4</v>
      </c>
      <c r="G74" s="14">
        <f t="shared" si="23"/>
        <v>0.79166666666666663</v>
      </c>
      <c r="H74" s="39">
        <v>2.7</v>
      </c>
      <c r="I74" s="25">
        <f t="shared" si="24"/>
        <v>0.12500000000000011</v>
      </c>
      <c r="J74" s="25">
        <f t="shared" si="25"/>
        <v>0.66666666666666652</v>
      </c>
      <c r="K74" s="14">
        <v>0.04</v>
      </c>
      <c r="L74" s="26">
        <f t="shared" si="26"/>
        <v>0.60166666666666657</v>
      </c>
    </row>
    <row r="75" spans="1:12">
      <c r="B75" s="16" t="s">
        <v>95</v>
      </c>
      <c r="C75" s="63"/>
      <c r="D75" s="34">
        <v>26</v>
      </c>
      <c r="E75" s="34">
        <v>5</v>
      </c>
      <c r="F75" s="12">
        <v>16.5</v>
      </c>
      <c r="G75" s="14">
        <f t="shared" si="23"/>
        <v>0.5757575757575758</v>
      </c>
      <c r="H75" s="34">
        <v>29.5</v>
      </c>
      <c r="I75" s="25">
        <f t="shared" si="24"/>
        <v>0.78787878787878785</v>
      </c>
      <c r="J75" s="25">
        <f t="shared" si="25"/>
        <v>-0.21212121212121204</v>
      </c>
      <c r="K75" s="14">
        <v>0.04</v>
      </c>
      <c r="L75" s="26">
        <f t="shared" si="26"/>
        <v>0.3857575757575758</v>
      </c>
    </row>
    <row r="76" spans="1:12">
      <c r="B76" s="16" t="s">
        <v>96</v>
      </c>
      <c r="C76" s="63"/>
      <c r="D76" s="34">
        <v>26</v>
      </c>
      <c r="E76" s="34">
        <v>1</v>
      </c>
      <c r="F76" s="12">
        <v>16.5</v>
      </c>
      <c r="G76" s="14">
        <f t="shared" si="23"/>
        <v>0.5757575757575758</v>
      </c>
      <c r="H76" s="34">
        <v>29.5</v>
      </c>
      <c r="I76" s="25">
        <f t="shared" si="24"/>
        <v>0.78787878787878785</v>
      </c>
      <c r="J76" s="25">
        <f t="shared" si="25"/>
        <v>-0.21212121212121204</v>
      </c>
      <c r="K76" s="14">
        <v>0.04</v>
      </c>
      <c r="L76" s="26">
        <f t="shared" si="26"/>
        <v>0.3857575757575758</v>
      </c>
    </row>
    <row r="77" spans="1:12">
      <c r="B77" s="16" t="s">
        <v>162</v>
      </c>
      <c r="C77" s="63"/>
      <c r="D77" s="34">
        <v>22</v>
      </c>
      <c r="E77" s="34">
        <v>1</v>
      </c>
      <c r="F77" s="12">
        <v>15.5</v>
      </c>
      <c r="G77" s="14">
        <f t="shared" si="23"/>
        <v>0.41935483870967744</v>
      </c>
      <c r="H77" s="34">
        <v>20</v>
      </c>
      <c r="I77" s="25">
        <f t="shared" si="24"/>
        <v>0.29032258064516131</v>
      </c>
      <c r="J77" s="25">
        <f t="shared" si="25"/>
        <v>0.12903225806451613</v>
      </c>
      <c r="K77" s="14">
        <v>0.04</v>
      </c>
      <c r="L77" s="26">
        <f t="shared" si="26"/>
        <v>0.22935483870967743</v>
      </c>
    </row>
    <row r="78" spans="1:12">
      <c r="B78" s="35" t="s">
        <v>97</v>
      </c>
      <c r="C78" s="62"/>
      <c r="D78" s="39">
        <v>13.6</v>
      </c>
      <c r="E78" s="39">
        <v>1</v>
      </c>
      <c r="F78" s="12">
        <v>7.7</v>
      </c>
      <c r="G78" s="14">
        <f t="shared" si="23"/>
        <v>0.76623376623376616</v>
      </c>
      <c r="H78" s="39">
        <v>9.9</v>
      </c>
      <c r="I78" s="25">
        <f t="shared" si="24"/>
        <v>0.28571428571428575</v>
      </c>
      <c r="J78" s="25">
        <f t="shared" si="25"/>
        <v>0.4805194805194804</v>
      </c>
      <c r="K78" s="14">
        <v>0.04</v>
      </c>
      <c r="L78" s="26">
        <f t="shared" si="26"/>
        <v>0.57623376623376621</v>
      </c>
    </row>
    <row r="79" spans="1:12">
      <c r="B79" s="35" t="s">
        <v>98</v>
      </c>
      <c r="C79" s="62"/>
      <c r="D79" s="39">
        <v>5.95</v>
      </c>
      <c r="E79" s="39">
        <v>10</v>
      </c>
      <c r="F79" s="12">
        <v>3.5</v>
      </c>
      <c r="G79" s="14">
        <f t="shared" si="23"/>
        <v>0.70000000000000007</v>
      </c>
      <c r="H79" s="39">
        <v>5</v>
      </c>
      <c r="I79" s="25">
        <f t="shared" si="24"/>
        <v>0.42857142857142855</v>
      </c>
      <c r="J79" s="25">
        <f t="shared" si="25"/>
        <v>0.27142857142857152</v>
      </c>
      <c r="K79" s="14">
        <v>0.04</v>
      </c>
      <c r="L79" s="26">
        <f t="shared" si="26"/>
        <v>0.51</v>
      </c>
    </row>
    <row r="80" spans="1:12">
      <c r="B80" s="35" t="s">
        <v>99</v>
      </c>
      <c r="C80" s="62"/>
      <c r="D80" s="39">
        <v>11.2</v>
      </c>
      <c r="E80" s="39">
        <v>10</v>
      </c>
      <c r="F80" s="12">
        <v>6</v>
      </c>
      <c r="G80" s="14">
        <f t="shared" si="23"/>
        <v>0.86666666666666659</v>
      </c>
      <c r="H80" s="39">
        <v>9</v>
      </c>
      <c r="I80" s="25">
        <f t="shared" si="24"/>
        <v>0.5</v>
      </c>
      <c r="J80" s="25">
        <f t="shared" si="25"/>
        <v>0.36666666666666659</v>
      </c>
      <c r="K80" s="14">
        <v>0.04</v>
      </c>
      <c r="L80" s="26">
        <f t="shared" si="26"/>
        <v>0.67666666666666653</v>
      </c>
    </row>
  </sheetData>
  <sheetProtection algorithmName="SHA-512" hashValue="VWdIpEwkj36SpOATagFjBc592WofxDhnNA1dK+y1f1UvCIo2iZ+YqfAXENVqD5cMOv+ikveKBh/vgXS36Y0j0Q==" saltValue="hJKuSVglNPM3zqpWgwOdbA==" spinCount="100000" sheet="1" objects="1" scenarios="1"/>
  <sortState xmlns:xlrd2="http://schemas.microsoft.com/office/spreadsheetml/2017/richdata2" ref="B6:L23">
    <sortCondition ref="B6:B23"/>
  </sortState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C1:Y71"/>
  <sheetViews>
    <sheetView tabSelected="1" topLeftCell="B3" zoomScaleNormal="100" workbookViewId="0">
      <selection activeCell="F31" sqref="F31"/>
    </sheetView>
  </sheetViews>
  <sheetFormatPr defaultColWidth="9.140625" defaultRowHeight="15"/>
  <cols>
    <col min="1" max="2" width="9.140625" style="72"/>
    <col min="3" max="3" width="16.42578125" style="72" customWidth="1"/>
    <col min="4" max="4" width="6" style="72" bestFit="1" customWidth="1"/>
    <col min="5" max="5" width="41.42578125" style="72" bestFit="1" customWidth="1"/>
    <col min="6" max="6" width="21.42578125" style="72" bestFit="1" customWidth="1"/>
    <col min="7" max="7" width="14.7109375" style="72" customWidth="1"/>
    <col min="8" max="8" width="12.5703125" style="72" customWidth="1"/>
    <col min="9" max="9" width="9.5703125" style="72" hidden="1" customWidth="1"/>
    <col min="10" max="10" width="7.85546875" style="72" hidden="1" customWidth="1"/>
    <col min="11" max="11" width="15.28515625" style="72" hidden="1" customWidth="1"/>
    <col min="12" max="13" width="13.140625" style="72" hidden="1" customWidth="1"/>
    <col min="14" max="14" width="9.7109375" style="72" hidden="1" customWidth="1"/>
    <col min="15" max="15" width="9.42578125" style="72" hidden="1" customWidth="1"/>
    <col min="16" max="16" width="16.42578125" style="72" hidden="1" customWidth="1"/>
    <col min="17" max="19" width="7.42578125" style="72" hidden="1" customWidth="1"/>
    <col min="20" max="20" width="8.5703125" style="72" hidden="1" customWidth="1"/>
    <col min="21" max="24" width="8.28515625" style="72" hidden="1" customWidth="1"/>
    <col min="25" max="25" width="8.7109375" style="72" hidden="1" customWidth="1"/>
    <col min="26" max="26" width="18.85546875" style="72" customWidth="1"/>
    <col min="27" max="27" width="12" style="72" customWidth="1"/>
    <col min="28" max="16384" width="9.140625" style="72"/>
  </cols>
  <sheetData>
    <row r="1" spans="3:24" hidden="1"/>
    <row r="2" spans="3:24" hidden="1"/>
    <row r="3" spans="3:24" ht="18.75" customHeight="1">
      <c r="C3" s="142" t="s">
        <v>100</v>
      </c>
      <c r="D3" s="136" t="s">
        <v>185</v>
      </c>
      <c r="E3" s="137"/>
      <c r="F3" s="120" t="s">
        <v>101</v>
      </c>
      <c r="G3" s="122">
        <v>120</v>
      </c>
      <c r="H3" s="116"/>
    </row>
    <row r="4" spans="3:24" ht="15" customHeight="1">
      <c r="C4" s="143"/>
      <c r="D4" s="138"/>
      <c r="E4" s="139"/>
      <c r="F4" s="118" t="s">
        <v>127</v>
      </c>
      <c r="G4" s="117">
        <f>IF(G16&gt;0.1,G18,"ERRO")</f>
        <v>7.690607447472436</v>
      </c>
      <c r="H4" s="135" t="s">
        <v>103</v>
      </c>
    </row>
    <row r="5" spans="3:24" ht="15.75" customHeight="1">
      <c r="C5" s="143"/>
      <c r="D5" s="138"/>
      <c r="E5" s="139"/>
      <c r="F5" s="119" t="s">
        <v>104</v>
      </c>
      <c r="G5" s="74">
        <f>IF(G16&gt;=0.1,ROUNDUP(G17*60,0),"ERRO")</f>
        <v>55373</v>
      </c>
      <c r="H5" s="135"/>
    </row>
    <row r="6" spans="3:24" ht="18.75" customHeight="1">
      <c r="C6" s="143"/>
      <c r="D6" s="138"/>
      <c r="E6" s="139"/>
      <c r="F6" s="96" t="s">
        <v>105</v>
      </c>
      <c r="G6" s="115">
        <f>IF(AND(SUM(D23:D69)&gt;=8,G71&gt;=3),SUM(L23:L69),"ERRO")</f>
        <v>21125</v>
      </c>
      <c r="H6" s="145">
        <f>G12</f>
        <v>23</v>
      </c>
    </row>
    <row r="7" spans="3:24" ht="18.75" customHeight="1" thickBot="1">
      <c r="C7" s="144"/>
      <c r="D7" s="140"/>
      <c r="E7" s="141"/>
      <c r="F7" s="121" t="s">
        <v>170</v>
      </c>
      <c r="G7" s="40">
        <f>+G5*1.3</f>
        <v>71984.900000000009</v>
      </c>
      <c r="H7" s="146"/>
    </row>
    <row r="8" spans="3:24" ht="18.75" hidden="1">
      <c r="C8" s="75"/>
      <c r="D8" s="76"/>
      <c r="E8" s="76"/>
      <c r="F8" s="77"/>
      <c r="G8" s="78" t="s">
        <v>102</v>
      </c>
      <c r="H8" s="78"/>
      <c r="I8"/>
      <c r="J8"/>
      <c r="K8"/>
      <c r="L8"/>
      <c r="M8"/>
      <c r="N8"/>
      <c r="O8"/>
    </row>
    <row r="9" spans="3:24" ht="18.75" hidden="1">
      <c r="C9" s="75"/>
      <c r="D9" s="79"/>
      <c r="E9"/>
      <c r="F9"/>
      <c r="G9" s="80" t="s">
        <v>106</v>
      </c>
      <c r="H9" s="78"/>
      <c r="I9"/>
      <c r="J9"/>
      <c r="K9"/>
      <c r="L9"/>
      <c r="M9"/>
      <c r="N9"/>
      <c r="O9"/>
    </row>
    <row r="10" spans="3:24" ht="18.75" hidden="1">
      <c r="C10" s="75"/>
      <c r="D10" s="79"/>
      <c r="E10"/>
      <c r="F10" t="s">
        <v>107</v>
      </c>
      <c r="G10" s="81">
        <f>SUM(M24:M69)</f>
        <v>15432.5</v>
      </c>
      <c r="H10" s="81"/>
      <c r="I10"/>
      <c r="J10"/>
      <c r="K10"/>
      <c r="L10"/>
      <c r="M10"/>
      <c r="N10"/>
      <c r="O10"/>
    </row>
    <row r="11" spans="3:24" ht="18.75" hidden="1">
      <c r="C11" s="75"/>
      <c r="D11" s="79"/>
      <c r="E11"/>
      <c r="F11" t="s">
        <v>54</v>
      </c>
      <c r="G11" s="82">
        <f>(G6-G10)/G10</f>
        <v>0.36886440952535232</v>
      </c>
      <c r="H11" s="82"/>
      <c r="I11"/>
      <c r="J11"/>
      <c r="K11"/>
      <c r="L11"/>
      <c r="M11"/>
      <c r="N11"/>
      <c r="O11"/>
    </row>
    <row r="12" spans="3:24" ht="18.75" hidden="1">
      <c r="C12" s="75"/>
      <c r="D12" s="79"/>
      <c r="E12"/>
      <c r="F12" t="s">
        <v>108</v>
      </c>
      <c r="G12" s="81">
        <v>23</v>
      </c>
      <c r="H12" s="83">
        <f>IF(G11&gt;=X14,X15,IF(G11&gt;=W14,W15,IF(G11&gt;=V14,V15,IF(G11&gt;=U14,U15,IF(G11&gt;=T14,T15,IF(G11&gt;=S14,S15,IF(G11&gt;=R14,R15,IF(G11&gt;=Q14,Q15,IF(G11&gt;=P14,P15,"ERRO")))))))))</f>
        <v>22</v>
      </c>
      <c r="I12"/>
      <c r="J12"/>
      <c r="K12"/>
      <c r="L12"/>
      <c r="M12"/>
      <c r="N12"/>
      <c r="O12"/>
    </row>
    <row r="13" spans="3:24" ht="18.75" hidden="1">
      <c r="C13" s="75"/>
      <c r="D13" s="79"/>
      <c r="E13"/>
      <c r="F13" t="s">
        <v>109</v>
      </c>
      <c r="G13" s="81">
        <f>G12-(G12/21*10/100)</f>
        <v>22.890476190476189</v>
      </c>
      <c r="H13" s="81"/>
      <c r="I13"/>
      <c r="J13"/>
      <c r="K13"/>
      <c r="L13"/>
      <c r="M13"/>
      <c r="N13"/>
      <c r="O13"/>
      <c r="P13"/>
      <c r="Q13"/>
      <c r="R13"/>
      <c r="S13"/>
      <c r="T13" t="s">
        <v>54</v>
      </c>
      <c r="U13"/>
      <c r="V13"/>
      <c r="W13"/>
      <c r="X13"/>
    </row>
    <row r="14" spans="3:24" ht="18.75" hidden="1">
      <c r="C14" s="75"/>
      <c r="D14" s="79"/>
      <c r="E14"/>
      <c r="F14" t="s">
        <v>110</v>
      </c>
      <c r="G14" s="81">
        <v>19.68</v>
      </c>
      <c r="H14"/>
      <c r="I14" s="82"/>
      <c r="J14"/>
      <c r="K14"/>
      <c r="L14"/>
      <c r="M14"/>
      <c r="N14"/>
      <c r="O14"/>
      <c r="P14" s="84">
        <f t="shared" ref="P14:X14" si="0">P16+P17</f>
        <v>9.6000000000000002E-2</v>
      </c>
      <c r="Q14" s="84">
        <f t="shared" si="0"/>
        <v>0.1321</v>
      </c>
      <c r="R14" s="84">
        <f t="shared" si="0"/>
        <v>0.14369999999999999</v>
      </c>
      <c r="S14" s="84">
        <f t="shared" si="0"/>
        <v>0.15479999999999999</v>
      </c>
      <c r="T14" s="84">
        <f t="shared" si="0"/>
        <v>0.16639999999999999</v>
      </c>
      <c r="U14" s="84">
        <f t="shared" si="0"/>
        <v>0.17749999999999999</v>
      </c>
      <c r="V14" s="84">
        <f t="shared" si="0"/>
        <v>0.18909999999999999</v>
      </c>
      <c r="W14" s="84">
        <f t="shared" si="0"/>
        <v>0.20019999999999999</v>
      </c>
      <c r="X14" s="84">
        <f t="shared" si="0"/>
        <v>0.21179999999999999</v>
      </c>
    </row>
    <row r="15" spans="3:24" ht="18.75" hidden="1">
      <c r="C15" s="75"/>
      <c r="D15" s="79"/>
      <c r="E15"/>
      <c r="F15" t="s">
        <v>111</v>
      </c>
      <c r="G15" s="85">
        <f>(G12-G14)/G14</f>
        <v>0.16869918699186995</v>
      </c>
      <c r="H15" s="85"/>
      <c r="I15" s="82"/>
      <c r="J15"/>
      <c r="K15"/>
      <c r="L15"/>
      <c r="M15"/>
      <c r="N15"/>
      <c r="O15"/>
      <c r="P15" s="86">
        <v>21</v>
      </c>
      <c r="Q15" s="86">
        <v>21.12</v>
      </c>
      <c r="R15" s="86">
        <v>21.25</v>
      </c>
      <c r="S15" s="86">
        <v>21.37</v>
      </c>
      <c r="T15" s="86">
        <v>21.5</v>
      </c>
      <c r="U15" s="86">
        <v>21.62</v>
      </c>
      <c r="V15" s="86">
        <v>21.75</v>
      </c>
      <c r="W15" s="86">
        <v>21.87</v>
      </c>
      <c r="X15" s="86">
        <v>22</v>
      </c>
    </row>
    <row r="16" spans="3:24" ht="18.75" hidden="1">
      <c r="C16" s="75"/>
      <c r="D16" s="79"/>
      <c r="E16"/>
      <c r="F16" t="s">
        <v>54</v>
      </c>
      <c r="G16" s="82">
        <f>G11-G15</f>
        <v>0.20016522253348237</v>
      </c>
      <c r="H16" s="87">
        <f>ROUND(G16,4)</f>
        <v>0.20019999999999999</v>
      </c>
      <c r="I16" s="88"/>
      <c r="J16"/>
      <c r="K16"/>
      <c r="L16"/>
      <c r="M16"/>
      <c r="N16"/>
      <c r="O16"/>
      <c r="P16" s="89">
        <v>6.6000000000000003E-2</v>
      </c>
      <c r="Q16" s="89">
        <v>7.2099999999999997E-2</v>
      </c>
      <c r="R16" s="89">
        <v>7.8700000000000006E-2</v>
      </c>
      <c r="S16" s="89">
        <v>8.48E-2</v>
      </c>
      <c r="T16" s="89">
        <v>9.1399999999999995E-2</v>
      </c>
      <c r="U16" s="89">
        <v>9.7500000000000003E-2</v>
      </c>
      <c r="V16" s="89">
        <v>0.1041</v>
      </c>
      <c r="W16" s="89">
        <v>0.11020000000000001</v>
      </c>
      <c r="X16" s="89">
        <v>0.1168</v>
      </c>
    </row>
    <row r="17" spans="3:24" ht="18.75" hidden="1">
      <c r="C17" s="75"/>
      <c r="D17" s="79"/>
      <c r="E17"/>
      <c r="F17" t="s">
        <v>112</v>
      </c>
      <c r="G17" s="81">
        <f>G6/G13</f>
        <v>922.87289369669236</v>
      </c>
      <c r="H17" s="90">
        <v>0.1</v>
      </c>
      <c r="I17"/>
      <c r="J17"/>
      <c r="K17"/>
      <c r="L17"/>
      <c r="M17"/>
      <c r="N17"/>
      <c r="O17"/>
      <c r="P17" s="89">
        <v>0.03</v>
      </c>
      <c r="Q17" s="89">
        <v>0.06</v>
      </c>
      <c r="R17" s="89">
        <v>6.5000000000000002E-2</v>
      </c>
      <c r="S17" s="89">
        <v>7.0000000000000007E-2</v>
      </c>
      <c r="T17" s="89">
        <v>7.4999999999999997E-2</v>
      </c>
      <c r="U17" s="89">
        <v>0.08</v>
      </c>
      <c r="V17" s="89">
        <v>8.5000000000000006E-2</v>
      </c>
      <c r="W17" s="89">
        <v>0.09</v>
      </c>
      <c r="X17" s="89">
        <v>9.5000000000000001E-2</v>
      </c>
    </row>
    <row r="18" spans="3:24" ht="18.75" hidden="1">
      <c r="C18" s="75"/>
      <c r="D18" s="79"/>
      <c r="E18"/>
      <c r="F18" t="s">
        <v>113</v>
      </c>
      <c r="G18" s="81">
        <f>G17/G3</f>
        <v>7.690607447472436</v>
      </c>
      <c r="H18" s="89">
        <f>H16-H17</f>
        <v>0.10019999999999998</v>
      </c>
      <c r="I18"/>
      <c r="J18"/>
      <c r="K18"/>
      <c r="L18"/>
      <c r="M18"/>
      <c r="N18"/>
      <c r="O18"/>
      <c r="X18" s="91"/>
    </row>
    <row r="19" spans="3:24" ht="18.75" hidden="1">
      <c r="C19" s="75"/>
      <c r="D19" s="79"/>
      <c r="E19"/>
      <c r="F19" s="77" t="s">
        <v>126</v>
      </c>
      <c r="G19" s="86">
        <f>G10*G16</f>
        <v>3089.0497967479669</v>
      </c>
      <c r="H19" s="78"/>
      <c r="I19"/>
      <c r="J19"/>
      <c r="K19"/>
      <c r="L19"/>
      <c r="M19"/>
      <c r="N19"/>
      <c r="O19"/>
      <c r="X19" s="91"/>
    </row>
    <row r="20" spans="3:24" hidden="1">
      <c r="C20"/>
      <c r="D20" s="92"/>
      <c r="E20"/>
      <c r="F20"/>
      <c r="G20" s="41"/>
      <c r="H20" s="69"/>
      <c r="I20" s="41"/>
      <c r="J20" s="41"/>
      <c r="K20" s="11"/>
      <c r="L20" s="11"/>
      <c r="M20" s="11"/>
      <c r="N20"/>
      <c r="O20" s="41">
        <f>SUM(O31:O69)</f>
        <v>386.40499999999997</v>
      </c>
    </row>
    <row r="21" spans="3:24" ht="15.75" thickBot="1">
      <c r="C21" s="111" t="str">
        <f>"V."&amp;O20&amp;"."</f>
        <v>V.386,405.</v>
      </c>
      <c r="D21" s="112"/>
      <c r="E21" s="113"/>
      <c r="F21" s="113"/>
      <c r="G21" s="114"/>
      <c r="H21" s="114"/>
      <c r="I21" s="41"/>
      <c r="J21" s="41"/>
      <c r="K21" s="11"/>
      <c r="L21" s="11"/>
      <c r="M21" s="11"/>
      <c r="O21" s="41"/>
    </row>
    <row r="22" spans="3:24" ht="15.75" hidden="1" thickBot="1">
      <c r="C22" s="111"/>
      <c r="D22" s="112"/>
      <c r="E22" s="113"/>
      <c r="F22" s="113"/>
      <c r="G22" s="114"/>
      <c r="H22" s="114"/>
      <c r="I22" s="41"/>
      <c r="J22" s="41"/>
      <c r="K22" s="11"/>
      <c r="L22" s="11"/>
      <c r="M22" s="11"/>
      <c r="O22" s="41"/>
    </row>
    <row r="23" spans="3:24" hidden="1">
      <c r="C23" s="93" t="s">
        <v>124</v>
      </c>
      <c r="D23" s="94" t="s">
        <v>115</v>
      </c>
      <c r="E23" s="94" t="s">
        <v>116</v>
      </c>
      <c r="F23" s="94" t="s">
        <v>137</v>
      </c>
      <c r="G23" s="94" t="s">
        <v>117</v>
      </c>
      <c r="H23" s="95" t="s">
        <v>52</v>
      </c>
      <c r="I23" s="96" t="s">
        <v>2</v>
      </c>
      <c r="J23" s="41"/>
      <c r="K23" s="97" t="s">
        <v>118</v>
      </c>
      <c r="L23" s="73" t="s">
        <v>119</v>
      </c>
      <c r="M23" s="77" t="s">
        <v>120</v>
      </c>
      <c r="N23" s="48"/>
      <c r="W23" s="89"/>
    </row>
    <row r="24" spans="3:24" hidden="1">
      <c r="C24" s="98" t="s">
        <v>124</v>
      </c>
      <c r="D24" s="99"/>
      <c r="E24" s="100"/>
      <c r="F24" s="100"/>
      <c r="G24" s="44">
        <f>IF(E24="",0,MROUND(K24,VLOOKUP(E24,Precos!$B$2:$E$13,4,1)))</f>
        <v>0</v>
      </c>
      <c r="H24" s="59">
        <f t="shared" ref="H24:H34" si="1">I24</f>
        <v>0</v>
      </c>
      <c r="I24" s="46">
        <f>IF(E24="",0,VLOOKUP(E24,Precos!$B$2:$E$4,3,1))</f>
        <v>0</v>
      </c>
      <c r="J24" s="47">
        <f>IF(E24="",0,VLOOKUP(E24,Precos!$B$2:$G$4,5,1))</f>
        <v>0</v>
      </c>
      <c r="K24" s="101">
        <f t="shared" ref="K24:K34" si="2">$G$3*D24*F24</f>
        <v>0</v>
      </c>
      <c r="L24" s="102">
        <f t="shared" ref="L24:L34" si="3">G24*I24</f>
        <v>0</v>
      </c>
      <c r="M24" s="11">
        <f t="shared" ref="M24:M34" si="4">G24*J24</f>
        <v>0</v>
      </c>
      <c r="N24" s="58">
        <f>IF(E24="",0,VLOOKUP(E24,Precos!$B$2:$K$4,10,1))</f>
        <v>0</v>
      </c>
      <c r="O24" s="72">
        <f t="shared" ref="O24:O34" si="5">L24*N24</f>
        <v>0</v>
      </c>
      <c r="W24" s="89"/>
    </row>
    <row r="25" spans="3:24" hidden="1">
      <c r="C25" s="98" t="s">
        <v>124</v>
      </c>
      <c r="D25" s="99"/>
      <c r="E25" s="100"/>
      <c r="F25" s="100"/>
      <c r="G25" s="44">
        <f>IF(E25="",0,MROUND(K25,VLOOKUP(E25,Precos!$B$2:$E$13,4,1)))</f>
        <v>0</v>
      </c>
      <c r="H25" s="59">
        <f t="shared" si="1"/>
        <v>0</v>
      </c>
      <c r="I25" s="46">
        <f>IF(E25="",0,VLOOKUP(E25,Precos!$B$2:$E$4,3,1))</f>
        <v>0</v>
      </c>
      <c r="J25" s="47">
        <f>IF(E25="",0,VLOOKUP(E25,Precos!$B$2:$G$4,5,1))</f>
        <v>0</v>
      </c>
      <c r="K25" s="101">
        <f t="shared" si="2"/>
        <v>0</v>
      </c>
      <c r="L25" s="102">
        <f t="shared" si="3"/>
        <v>0</v>
      </c>
      <c r="M25" s="11">
        <f t="shared" si="4"/>
        <v>0</v>
      </c>
      <c r="N25" s="58">
        <f>IF(E25="",0,VLOOKUP(E25,Precos!$B$2:$K$4,10,1))</f>
        <v>0</v>
      </c>
      <c r="O25" s="72">
        <f t="shared" si="5"/>
        <v>0</v>
      </c>
    </row>
    <row r="26" spans="3:24" hidden="1">
      <c r="C26" s="98" t="s">
        <v>124</v>
      </c>
      <c r="D26" s="99"/>
      <c r="E26" s="100"/>
      <c r="F26" s="100"/>
      <c r="G26" s="44">
        <f>IF(E26="",0,MROUND(K26,VLOOKUP(E26,Precos!$B$2:$E$13,4,1)))</f>
        <v>0</v>
      </c>
      <c r="H26" s="45">
        <f t="shared" si="1"/>
        <v>0</v>
      </c>
      <c r="I26" s="46">
        <f>IF(E26="",0,VLOOKUP(E26,Precos!$B$2:$E$4,3,1))</f>
        <v>0</v>
      </c>
      <c r="J26" s="47">
        <f>IF(E26="",0,VLOOKUP(E26,Precos!$B$2:$G$4,5,1))</f>
        <v>0</v>
      </c>
      <c r="K26" s="101">
        <f t="shared" si="2"/>
        <v>0</v>
      </c>
      <c r="L26" s="102">
        <f t="shared" si="3"/>
        <v>0</v>
      </c>
      <c r="M26" s="11">
        <f t="shared" si="4"/>
        <v>0</v>
      </c>
      <c r="N26" s="58">
        <f>IF(E26="",0,VLOOKUP(E26,Precos!$B$2:$K$4,10,1))</f>
        <v>0</v>
      </c>
      <c r="O26" s="72">
        <f t="shared" si="5"/>
        <v>0</v>
      </c>
    </row>
    <row r="27" spans="3:24" hidden="1">
      <c r="C27" s="98" t="s">
        <v>124</v>
      </c>
      <c r="D27" s="99"/>
      <c r="E27" s="100"/>
      <c r="F27" s="100"/>
      <c r="G27" s="44">
        <f>IF(E27="",0,MROUND(K27,VLOOKUP(E27,Precos!$B$2:$E$13,4,1)))</f>
        <v>0</v>
      </c>
      <c r="H27" s="45">
        <f t="shared" si="1"/>
        <v>0</v>
      </c>
      <c r="I27" s="46">
        <f>IF(E27="",0,VLOOKUP(E27,Precos!$B$2:$E$4,3,1))</f>
        <v>0</v>
      </c>
      <c r="J27" s="47">
        <f>IF(E27="",0,VLOOKUP(E27,Precos!$B$2:$G$4,5,1))</f>
        <v>0</v>
      </c>
      <c r="K27" s="101">
        <f t="shared" si="2"/>
        <v>0</v>
      </c>
      <c r="L27" s="102">
        <f t="shared" si="3"/>
        <v>0</v>
      </c>
      <c r="M27" s="11">
        <f t="shared" si="4"/>
        <v>0</v>
      </c>
      <c r="N27" s="58">
        <f>IF(E27="",0,VLOOKUP(E27,Precos!$B$2:$K$4,10,1))</f>
        <v>0</v>
      </c>
      <c r="O27" s="72">
        <f t="shared" si="5"/>
        <v>0</v>
      </c>
    </row>
    <row r="28" spans="3:24" hidden="1">
      <c r="C28" s="98" t="s">
        <v>124</v>
      </c>
      <c r="D28" s="99"/>
      <c r="E28" s="100"/>
      <c r="F28" s="100"/>
      <c r="G28" s="44">
        <f>IF(E28="",0,MROUND(K28,VLOOKUP(E28,Precos!$B$2:$E$13,4,1)))</f>
        <v>0</v>
      </c>
      <c r="H28" s="45">
        <f t="shared" si="1"/>
        <v>0</v>
      </c>
      <c r="I28" s="46">
        <f>IF(E28="",0,VLOOKUP(E28,Precos!$B$2:$E$4,3,1))</f>
        <v>0</v>
      </c>
      <c r="J28" s="47">
        <f>IF(E28="",0,VLOOKUP(E28,Precos!$B$2:$G$4,5,1))</f>
        <v>0</v>
      </c>
      <c r="K28" s="101">
        <f t="shared" si="2"/>
        <v>0</v>
      </c>
      <c r="L28" s="102">
        <f t="shared" si="3"/>
        <v>0</v>
      </c>
      <c r="M28" s="11">
        <f t="shared" si="4"/>
        <v>0</v>
      </c>
      <c r="N28" s="58">
        <f>IF(E28="",0,VLOOKUP(E28,Precos!$B$2:$K$4,10,1))</f>
        <v>0</v>
      </c>
      <c r="O28" s="72">
        <f t="shared" si="5"/>
        <v>0</v>
      </c>
    </row>
    <row r="29" spans="3:24" ht="15.75" hidden="1" thickBot="1">
      <c r="C29" s="103" t="s">
        <v>124</v>
      </c>
      <c r="D29" s="104"/>
      <c r="E29" s="105"/>
      <c r="F29" s="105"/>
      <c r="G29" s="64">
        <f>IF(E29="",0,MROUND(K29,VLOOKUP(E29,Precos!$B$2:$E$13,4,1)))</f>
        <v>0</v>
      </c>
      <c r="H29" s="45">
        <f t="shared" si="1"/>
        <v>0</v>
      </c>
      <c r="I29" s="46">
        <f>IF(E29="",0,VLOOKUP(E29,Precos!$B$2:$E$4,3,1))</f>
        <v>0</v>
      </c>
      <c r="J29" s="47">
        <f>IF(E29="",0,VLOOKUP(E29,Precos!$B$2:$G$4,5,1))</f>
        <v>0</v>
      </c>
      <c r="K29" s="101">
        <f t="shared" si="2"/>
        <v>0</v>
      </c>
      <c r="L29" s="102">
        <f t="shared" si="3"/>
        <v>0</v>
      </c>
      <c r="M29" s="11">
        <f t="shared" si="4"/>
        <v>0</v>
      </c>
      <c r="N29" s="58">
        <f>IF(E29="",0,VLOOKUP(E29,Precos!$B$2:$K$4,10,1))</f>
        <v>0</v>
      </c>
      <c r="O29" s="72">
        <f t="shared" si="5"/>
        <v>0</v>
      </c>
    </row>
    <row r="30" spans="3:24">
      <c r="C30" s="93" t="s">
        <v>128</v>
      </c>
      <c r="D30" s="94" t="s">
        <v>115</v>
      </c>
      <c r="E30" s="94" t="s">
        <v>116</v>
      </c>
      <c r="F30" s="94" t="s">
        <v>136</v>
      </c>
      <c r="G30" s="94" t="s">
        <v>117</v>
      </c>
      <c r="H30" s="95" t="s">
        <v>52</v>
      </c>
      <c r="I30" s="96" t="s">
        <v>2</v>
      </c>
      <c r="J30" s="41"/>
      <c r="K30" s="97" t="s">
        <v>118</v>
      </c>
      <c r="L30" s="73" t="s">
        <v>119</v>
      </c>
      <c r="M30" s="77" t="s">
        <v>120</v>
      </c>
      <c r="N30" s="58"/>
      <c r="W30" s="89"/>
    </row>
    <row r="31" spans="3:24">
      <c r="C31" s="98" t="s">
        <v>128</v>
      </c>
      <c r="D31" s="42">
        <v>1</v>
      </c>
      <c r="E31" s="43" t="s">
        <v>145</v>
      </c>
      <c r="F31" s="43"/>
      <c r="G31" s="64">
        <f>IF(E31="",0,MROUND(K31,VLOOKUP(E31,Precos!$B$6:$E$23,4,1)))</f>
        <v>0</v>
      </c>
      <c r="H31" s="45">
        <f t="shared" si="1"/>
        <v>33</v>
      </c>
      <c r="I31" s="46">
        <f>IF(E31="",0,VLOOKUP(E31,Precos!$B$6:$E$23,3,1))</f>
        <v>33</v>
      </c>
      <c r="J31" s="47">
        <f>IF(E31="",0,VLOOKUP(E31,Precos!$B$6:$G$23,5,1))</f>
        <v>23.81</v>
      </c>
      <c r="K31" s="101">
        <f t="shared" si="2"/>
        <v>0</v>
      </c>
      <c r="L31" s="102">
        <f t="shared" si="3"/>
        <v>0</v>
      </c>
      <c r="M31" s="11">
        <f t="shared" si="4"/>
        <v>0</v>
      </c>
      <c r="N31" s="58">
        <f>IF(E31="",0,VLOOKUP(E31,Precos!$B$6:$K$14,10,1))</f>
        <v>2.5000000000000001E-2</v>
      </c>
      <c r="O31" s="72">
        <f t="shared" si="5"/>
        <v>0</v>
      </c>
    </row>
    <row r="32" spans="3:24">
      <c r="C32" s="98" t="s">
        <v>128</v>
      </c>
      <c r="D32" s="42"/>
      <c r="E32" s="43"/>
      <c r="F32" s="43"/>
      <c r="G32" s="64">
        <f>IF(E32="",0,MROUND(K32,VLOOKUP(E32,Precos!$B$6:$E$23,4,1)))</f>
        <v>0</v>
      </c>
      <c r="H32" s="45">
        <f t="shared" si="1"/>
        <v>0</v>
      </c>
      <c r="I32" s="46">
        <f>IF(E32="",0,VLOOKUP(E32,Precos!$B$6:$E$23,3,1))</f>
        <v>0</v>
      </c>
      <c r="J32" s="47">
        <f>IF(E32="",0,VLOOKUP(E32,Precos!$B$6:$G$23,5,1))</f>
        <v>0</v>
      </c>
      <c r="K32" s="101">
        <f t="shared" si="2"/>
        <v>0</v>
      </c>
      <c r="L32" s="102">
        <f t="shared" si="3"/>
        <v>0</v>
      </c>
      <c r="M32" s="11">
        <f t="shared" si="4"/>
        <v>0</v>
      </c>
      <c r="N32" s="58">
        <f>IF(E32="",0,VLOOKUP(E32,Precos!$B$6:$K$14,10,1))</f>
        <v>0</v>
      </c>
      <c r="O32" s="72">
        <f t="shared" si="5"/>
        <v>0</v>
      </c>
    </row>
    <row r="33" spans="3:15">
      <c r="C33" s="98" t="s">
        <v>128</v>
      </c>
      <c r="D33" s="42"/>
      <c r="E33" s="43"/>
      <c r="F33" s="43"/>
      <c r="G33" s="64">
        <f>IF(E33="",0,MROUND(K33,VLOOKUP(E33,Precos!$B$6:$E$23,4,1)))</f>
        <v>0</v>
      </c>
      <c r="H33" s="45">
        <f t="shared" si="1"/>
        <v>0</v>
      </c>
      <c r="I33" s="46">
        <f>IF(E33="",0,VLOOKUP(E33,Precos!$B$6:$E$23,3,1))</f>
        <v>0</v>
      </c>
      <c r="J33" s="47">
        <f>IF(E33="",0,VLOOKUP(E33,Precos!$B$6:$G$23,5,1))</f>
        <v>0</v>
      </c>
      <c r="K33" s="101">
        <f t="shared" si="2"/>
        <v>0</v>
      </c>
      <c r="L33" s="102">
        <f t="shared" si="3"/>
        <v>0</v>
      </c>
      <c r="M33" s="11">
        <f t="shared" si="4"/>
        <v>0</v>
      </c>
      <c r="N33" s="58">
        <f>IF(E33="",0,VLOOKUP(E33,Precos!$B$6:$K$14,10,1))</f>
        <v>0</v>
      </c>
      <c r="O33" s="72">
        <f t="shared" si="5"/>
        <v>0</v>
      </c>
    </row>
    <row r="34" spans="3:15" ht="15.75" thickBot="1">
      <c r="C34" s="98" t="s">
        <v>128</v>
      </c>
      <c r="D34" s="42"/>
      <c r="E34" s="43"/>
      <c r="F34" s="43"/>
      <c r="G34" s="64">
        <f>IF(E34="",0,MROUND(K34,VLOOKUP(E34,Precos!$B$6:$E$23,4,1)))</f>
        <v>0</v>
      </c>
      <c r="H34" s="45">
        <f t="shared" si="1"/>
        <v>0</v>
      </c>
      <c r="I34" s="46">
        <f>IF(E34="",0,VLOOKUP(E34,Precos!$B$6:$E$23,3,1))</f>
        <v>0</v>
      </c>
      <c r="J34" s="47">
        <f>IF(E34="",0,VLOOKUP(E34,Precos!$B$6:$G$23,5,1))</f>
        <v>0</v>
      </c>
      <c r="K34" s="101">
        <f t="shared" si="2"/>
        <v>0</v>
      </c>
      <c r="L34" s="102">
        <f t="shared" si="3"/>
        <v>0</v>
      </c>
      <c r="M34" s="11">
        <f t="shared" si="4"/>
        <v>0</v>
      </c>
      <c r="N34" s="58">
        <f>IF(E34="",0,VLOOKUP(E34,Precos!$B$6:$K$14,10,1))</f>
        <v>0</v>
      </c>
      <c r="O34" s="72">
        <f t="shared" si="5"/>
        <v>0</v>
      </c>
    </row>
    <row r="35" spans="3:15">
      <c r="C35" s="93" t="s">
        <v>114</v>
      </c>
      <c r="D35" s="94" t="s">
        <v>115</v>
      </c>
      <c r="E35" s="94" t="s">
        <v>116</v>
      </c>
      <c r="F35" s="94" t="s">
        <v>138</v>
      </c>
      <c r="G35" s="94" t="s">
        <v>117</v>
      </c>
      <c r="H35" s="53" t="s">
        <v>52</v>
      </c>
      <c r="I35" s="96" t="s">
        <v>2</v>
      </c>
      <c r="J35" s="73"/>
      <c r="K35" s="97" t="s">
        <v>118</v>
      </c>
      <c r="L35" s="73" t="s">
        <v>119</v>
      </c>
      <c r="M35" s="77" t="s">
        <v>120</v>
      </c>
      <c r="N35" s="48"/>
    </row>
    <row r="36" spans="3:15">
      <c r="C36" s="98" t="s">
        <v>114</v>
      </c>
      <c r="D36" s="42">
        <v>1</v>
      </c>
      <c r="E36" s="43" t="s">
        <v>150</v>
      </c>
      <c r="F36" s="43">
        <v>0.03</v>
      </c>
      <c r="G36" s="44">
        <f>IF(E36="",0,MROUND(K36,VLOOKUP(E36,Precos!$B$25:$E$34,4,1)))</f>
        <v>5</v>
      </c>
      <c r="H36" s="45">
        <f t="shared" ref="H36:H41" si="6">I36</f>
        <v>90</v>
      </c>
      <c r="I36" s="46">
        <f>IF(E36="",0,VLOOKUP(E36,Precos!$B$25:$E$34,3,1))</f>
        <v>90</v>
      </c>
      <c r="J36" s="47">
        <f>IF(E36="",0,VLOOKUP(E36,Precos!$B$25:$G$34,5,1))</f>
        <v>60</v>
      </c>
      <c r="K36" s="101">
        <f t="shared" ref="K36:K41" si="7">$G$3*D36*F36</f>
        <v>3.5999999999999996</v>
      </c>
      <c r="L36" s="102">
        <f t="shared" ref="L36:L41" si="8">G36*I36</f>
        <v>450</v>
      </c>
      <c r="M36" s="11">
        <f t="shared" ref="M36:M41" si="9">G36*J36</f>
        <v>300</v>
      </c>
      <c r="N36" s="48">
        <f>IF(E36="",0,VLOOKUP(E36,Precos!B25:K34,10,1))</f>
        <v>0.01</v>
      </c>
      <c r="O36" s="72">
        <f t="shared" ref="O36:O41" si="10">L36*N36</f>
        <v>4.5</v>
      </c>
    </row>
    <row r="37" spans="3:15">
      <c r="C37" s="98" t="s">
        <v>114</v>
      </c>
      <c r="D37" s="42">
        <v>1</v>
      </c>
      <c r="E37" s="43" t="s">
        <v>60</v>
      </c>
      <c r="F37" s="43">
        <v>0.04</v>
      </c>
      <c r="G37" s="44">
        <f>IF(E37="",0,MROUND(K37,VLOOKUP(E37,Precos!$B$25:$E$34,4,1)))</f>
        <v>5</v>
      </c>
      <c r="H37" s="45">
        <f t="shared" si="6"/>
        <v>49.5</v>
      </c>
      <c r="I37" s="46">
        <f>IF(E37="",0,VLOOKUP(E37,Precos!$B$25:$E$34,3,1))</f>
        <v>49.5</v>
      </c>
      <c r="J37" s="47">
        <f>IF(E37="",0,VLOOKUP(E37,Precos!$B$25:$G$34,5,1))</f>
        <v>42</v>
      </c>
      <c r="K37" s="101">
        <f t="shared" si="7"/>
        <v>4.8</v>
      </c>
      <c r="L37" s="102">
        <f t="shared" si="8"/>
        <v>247.5</v>
      </c>
      <c r="M37" s="11">
        <f t="shared" si="9"/>
        <v>210</v>
      </c>
      <c r="N37" s="48">
        <f>IF(E37="",0,VLOOKUP(E37,Precos!$B$25:$K$34,10,1))</f>
        <v>4.0000000000000001E-3</v>
      </c>
      <c r="O37" s="72">
        <f t="shared" si="10"/>
        <v>0.99</v>
      </c>
    </row>
    <row r="38" spans="3:15">
      <c r="C38" s="98" t="s">
        <v>114</v>
      </c>
      <c r="D38" s="42">
        <v>1</v>
      </c>
      <c r="E38" s="43" t="s">
        <v>59</v>
      </c>
      <c r="F38" s="43">
        <v>0.08</v>
      </c>
      <c r="G38" s="44">
        <f>IF(E38="",0,MROUND(K38,VLOOKUP(E38,Precos!$B$25:$E$34,4,1)))</f>
        <v>10</v>
      </c>
      <c r="H38" s="45">
        <f t="shared" si="6"/>
        <v>107</v>
      </c>
      <c r="I38" s="46">
        <f>IF(E38="",0,VLOOKUP(E38,Precos!$B$25:$E$34,3,1))</f>
        <v>107</v>
      </c>
      <c r="J38" s="47">
        <f>IF(E38="",0,VLOOKUP(E38,Precos!$B$25:$G$34,5,1))</f>
        <v>79</v>
      </c>
      <c r="K38" s="101">
        <f t="shared" si="7"/>
        <v>9.6</v>
      </c>
      <c r="L38" s="102">
        <f t="shared" si="8"/>
        <v>1070</v>
      </c>
      <c r="M38" s="11">
        <f t="shared" si="9"/>
        <v>790</v>
      </c>
      <c r="N38" s="48">
        <f>IF(E38="",0,VLOOKUP(E38,Precos!$B$25:$K$34,10,1))</f>
        <v>0.04</v>
      </c>
      <c r="O38" s="72">
        <f t="shared" si="10"/>
        <v>42.800000000000004</v>
      </c>
    </row>
    <row r="39" spans="3:15">
      <c r="C39" s="98" t="s">
        <v>114</v>
      </c>
      <c r="D39" s="42">
        <v>1</v>
      </c>
      <c r="E39" s="43" t="s">
        <v>63</v>
      </c>
      <c r="F39" s="43">
        <v>0.08</v>
      </c>
      <c r="G39" s="44">
        <f>IF(E39="",0,MROUND(K39,VLOOKUP(E39,Precos!$B$25:$E$34,4,1)))</f>
        <v>10</v>
      </c>
      <c r="H39" s="45">
        <f t="shared" si="6"/>
        <v>26</v>
      </c>
      <c r="I39" s="46">
        <f>IF(E39="",0,VLOOKUP(E39,Precos!$B$25:$E$34,3,1))</f>
        <v>26</v>
      </c>
      <c r="J39" s="47">
        <f>IF(E39="",0,VLOOKUP(E39,Precos!$B$25:$G$34,5,1))</f>
        <v>16</v>
      </c>
      <c r="K39" s="101">
        <f t="shared" si="7"/>
        <v>9.6</v>
      </c>
      <c r="L39" s="102">
        <f t="shared" si="8"/>
        <v>260</v>
      </c>
      <c r="M39" s="11">
        <f t="shared" si="9"/>
        <v>160</v>
      </c>
      <c r="N39" s="48">
        <f>IF(E39="",0,VLOOKUP(E39,Precos!$B$25:$K$34,10,1))</f>
        <v>0.04</v>
      </c>
      <c r="O39" s="72">
        <f t="shared" si="10"/>
        <v>10.4</v>
      </c>
    </row>
    <row r="40" spans="3:15">
      <c r="C40" s="98" t="s">
        <v>114</v>
      </c>
      <c r="D40" s="42"/>
      <c r="E40" s="43"/>
      <c r="F40" s="43"/>
      <c r="G40" s="44">
        <f>IF(E40="",0,MROUND(K40,VLOOKUP(E40,Precos!$B$25:$E$34,4,1)))</f>
        <v>0</v>
      </c>
      <c r="H40" s="45">
        <f t="shared" si="6"/>
        <v>0</v>
      </c>
      <c r="I40" s="46">
        <f>IF(E40="",0,VLOOKUP(E40,Precos!$B$25:$E$34,3,1))</f>
        <v>0</v>
      </c>
      <c r="J40" s="47">
        <f>IF(E40="",0,VLOOKUP(E40,Precos!$B$25:$G$34,5,1))</f>
        <v>0</v>
      </c>
      <c r="K40" s="101">
        <f t="shared" si="7"/>
        <v>0</v>
      </c>
      <c r="L40" s="102">
        <f t="shared" si="8"/>
        <v>0</v>
      </c>
      <c r="M40" s="11">
        <f t="shared" si="9"/>
        <v>0</v>
      </c>
      <c r="N40" s="47">
        <f>IF(E40="",0,VLOOKUP(E40,Precos!$B$25:$K$34,10,1))</f>
        <v>0</v>
      </c>
      <c r="O40" s="72">
        <f t="shared" si="10"/>
        <v>0</v>
      </c>
    </row>
    <row r="41" spans="3:15">
      <c r="C41" s="106" t="s">
        <v>114</v>
      </c>
      <c r="D41" s="49"/>
      <c r="E41" s="50"/>
      <c r="F41" s="50"/>
      <c r="G41" s="51">
        <f>IF(E41="",0,MROUND(K41,VLOOKUP(E41,Precos!$B$25:$E$34,4,1)))</f>
        <v>0</v>
      </c>
      <c r="H41" s="52">
        <f t="shared" si="6"/>
        <v>0</v>
      </c>
      <c r="I41" s="46">
        <f>IF(E41="",0,VLOOKUP(E41,Precos!$B$25:$E$34,3,1))</f>
        <v>0</v>
      </c>
      <c r="J41" s="47">
        <f>IF(E41="",0,VLOOKUP(E41,Precos!$B$25:$G$34,5,1))</f>
        <v>0</v>
      </c>
      <c r="K41" s="101">
        <f t="shared" si="7"/>
        <v>0</v>
      </c>
      <c r="L41" s="102">
        <f t="shared" si="8"/>
        <v>0</v>
      </c>
      <c r="M41" s="11">
        <f t="shared" si="9"/>
        <v>0</v>
      </c>
      <c r="N41" s="48">
        <f>IF(E41="",0,VLOOKUP(E41,Precos!$B$25:$K$34,10,1))</f>
        <v>0</v>
      </c>
      <c r="O41" s="72">
        <f t="shared" si="10"/>
        <v>0</v>
      </c>
    </row>
    <row r="42" spans="3:15">
      <c r="C42" s="93" t="s">
        <v>121</v>
      </c>
      <c r="D42" s="94" t="s">
        <v>115</v>
      </c>
      <c r="E42" s="94" t="s">
        <v>116</v>
      </c>
      <c r="F42" s="94" t="s">
        <v>139</v>
      </c>
      <c r="G42" s="94" t="s">
        <v>117</v>
      </c>
      <c r="H42" s="53" t="s">
        <v>52</v>
      </c>
      <c r="I42" s="96" t="s">
        <v>2</v>
      </c>
      <c r="J42" s="73"/>
      <c r="K42" s="97" t="s">
        <v>118</v>
      </c>
      <c r="L42" s="73" t="s">
        <v>119</v>
      </c>
      <c r="M42" s="77" t="s">
        <v>120</v>
      </c>
      <c r="N42" s="48"/>
    </row>
    <row r="43" spans="3:15">
      <c r="C43" s="98" t="s">
        <v>121</v>
      </c>
      <c r="D43" s="54"/>
      <c r="E43" s="43" t="s">
        <v>152</v>
      </c>
      <c r="F43" s="43">
        <v>1</v>
      </c>
      <c r="G43" s="44">
        <f>IF(E43="",0,MROUND(K43,VLOOKUP(E43,Precos!$B$36:$E$43,4,1)))</f>
        <v>0</v>
      </c>
      <c r="H43" s="45">
        <f t="shared" ref="H43:H48" si="11">I43</f>
        <v>9.5</v>
      </c>
      <c r="I43" s="46">
        <f>IF(E43="",0,VLOOKUP(E43,Precos!$B$36:$E$44,3,1))</f>
        <v>9.5</v>
      </c>
      <c r="J43" s="47">
        <f>IF(E43="",0,VLOOKUP(E43,Precos!$B$36:G$44,5,1))</f>
        <v>7.5</v>
      </c>
      <c r="K43" s="107">
        <f t="shared" ref="K43:K48" si="12">$G$3*D43*F43</f>
        <v>0</v>
      </c>
      <c r="L43" s="102">
        <f t="shared" ref="L43:L48" si="13">G43*I43</f>
        <v>0</v>
      </c>
      <c r="M43" s="11">
        <f t="shared" ref="M43:M48" si="14">G43*J43</f>
        <v>0</v>
      </c>
      <c r="N43" s="48">
        <f>IF(E43="",0,VLOOKUP(E43,Precos!$B$36:$K$42,10,1))</f>
        <v>4.0000000000000001E-3</v>
      </c>
      <c r="O43" s="72">
        <f t="shared" ref="O43:O48" si="15">L43*N43</f>
        <v>0</v>
      </c>
    </row>
    <row r="44" spans="3:15">
      <c r="C44" s="98" t="s">
        <v>121</v>
      </c>
      <c r="D44" s="54">
        <v>1</v>
      </c>
      <c r="E44" s="43" t="s">
        <v>164</v>
      </c>
      <c r="F44" s="43">
        <v>1</v>
      </c>
      <c r="G44" s="44">
        <f>IF(E44="",0,MROUND(K44,VLOOKUP(E44,Precos!$B$36:$E$43,4,1)))</f>
        <v>120</v>
      </c>
      <c r="H44" s="45">
        <f t="shared" si="11"/>
        <v>6.1</v>
      </c>
      <c r="I44" s="46">
        <f>IF(E44="",0,VLOOKUP(E44,Precos!$B$36:$E$44,3,1))</f>
        <v>6.1</v>
      </c>
      <c r="J44" s="47">
        <f>IF(E44="",0,VLOOKUP(E44,Precos!$B$36:G$44,5,1))</f>
        <v>4.9000000000000004</v>
      </c>
      <c r="K44" s="107">
        <f t="shared" si="12"/>
        <v>120</v>
      </c>
      <c r="L44" s="102">
        <f t="shared" si="13"/>
        <v>732</v>
      </c>
      <c r="M44" s="11">
        <f t="shared" si="14"/>
        <v>588</v>
      </c>
      <c r="N44" s="48">
        <f>IF(E44="",0,VLOOKUP(E44,Precos!$B$36:$K$42,10,1))</f>
        <v>4.0000000000000001E-3</v>
      </c>
      <c r="O44" s="72">
        <f t="shared" si="15"/>
        <v>2.9279999999999999</v>
      </c>
    </row>
    <row r="45" spans="3:15">
      <c r="C45" s="98" t="s">
        <v>121</v>
      </c>
      <c r="D45" s="54">
        <v>1</v>
      </c>
      <c r="E45" s="43" t="s">
        <v>153</v>
      </c>
      <c r="F45" s="43">
        <v>0.08</v>
      </c>
      <c r="G45" s="44">
        <f>IF(E45="",0,MROUND(K45,VLOOKUP(E45,Precos!$B$36:$E$43,4,1)))</f>
        <v>10</v>
      </c>
      <c r="H45" s="45">
        <f t="shared" si="11"/>
        <v>88</v>
      </c>
      <c r="I45" s="46">
        <f>IF(E45="",0,VLOOKUP(E45,Precos!$B$36:$E$44,3,1))</f>
        <v>88</v>
      </c>
      <c r="J45" s="47">
        <f>IF(E45="",0,VLOOKUP(E45,Precos!$B$36:G$44,5,1))</f>
        <v>72</v>
      </c>
      <c r="K45" s="107">
        <f t="shared" si="12"/>
        <v>9.6</v>
      </c>
      <c r="L45" s="102">
        <f t="shared" si="13"/>
        <v>880</v>
      </c>
      <c r="M45" s="11">
        <f t="shared" si="14"/>
        <v>720</v>
      </c>
      <c r="N45" s="48">
        <f>IF(E45="",0,VLOOKUP(E45,Precos!$B$36:$K$42,10,1))</f>
        <v>4.0000000000000001E-3</v>
      </c>
      <c r="O45" s="72">
        <f t="shared" si="15"/>
        <v>3.52</v>
      </c>
    </row>
    <row r="46" spans="3:15">
      <c r="C46" s="98" t="s">
        <v>121</v>
      </c>
      <c r="D46" s="54"/>
      <c r="E46" s="43"/>
      <c r="F46" s="43"/>
      <c r="G46" s="44">
        <f>IF(E46="",0,MROUND(K46,VLOOKUP(E46,Precos!$B$36:$E$43,4,1)))</f>
        <v>0</v>
      </c>
      <c r="H46" s="45">
        <f t="shared" si="11"/>
        <v>0</v>
      </c>
      <c r="I46" s="46">
        <f>IF(E46="",0,VLOOKUP(E46,Precos!$B$36:$E$44,3,1))</f>
        <v>0</v>
      </c>
      <c r="J46" s="47">
        <f>IF(E46="",0,VLOOKUP(E46,Precos!$B$36:G$44,5,1))</f>
        <v>0</v>
      </c>
      <c r="K46" s="107">
        <f t="shared" si="12"/>
        <v>0</v>
      </c>
      <c r="L46" s="102">
        <f t="shared" si="13"/>
        <v>0</v>
      </c>
      <c r="M46" s="11">
        <f t="shared" si="14"/>
        <v>0</v>
      </c>
      <c r="N46" s="48">
        <f>IF(E46="",0,VLOOKUP(E46,Precos!$B$36:$K$42,10,1))</f>
        <v>0</v>
      </c>
      <c r="O46" s="72">
        <f t="shared" si="15"/>
        <v>0</v>
      </c>
    </row>
    <row r="47" spans="3:15">
      <c r="C47" s="98" t="s">
        <v>121</v>
      </c>
      <c r="D47" s="54"/>
      <c r="E47" s="43"/>
      <c r="F47" s="43"/>
      <c r="G47" s="44">
        <f>IF(E47="",0,MROUND(K47,VLOOKUP(E47,Precos!$B$36:$E$43,4,1)))</f>
        <v>0</v>
      </c>
      <c r="H47" s="45">
        <f t="shared" si="11"/>
        <v>0</v>
      </c>
      <c r="I47" s="46">
        <f>IF(E47="",0,VLOOKUP(E47,Precos!$B$36:$E$44,3,1))</f>
        <v>0</v>
      </c>
      <c r="J47" s="47">
        <f>IF(E47="",0,VLOOKUP(E47,Precos!$B$36:G$44,5,1))</f>
        <v>0</v>
      </c>
      <c r="K47" s="107">
        <f t="shared" si="12"/>
        <v>0</v>
      </c>
      <c r="L47" s="102">
        <f t="shared" si="13"/>
        <v>0</v>
      </c>
      <c r="M47" s="11">
        <f t="shared" si="14"/>
        <v>0</v>
      </c>
      <c r="N47" s="48">
        <f>IF(E47="",0,VLOOKUP(E47,Precos!$B$36:$K$42,10,1))</f>
        <v>0</v>
      </c>
      <c r="O47" s="72">
        <f t="shared" si="15"/>
        <v>0</v>
      </c>
    </row>
    <row r="48" spans="3:15" ht="15.75" thickBot="1">
      <c r="C48" s="106" t="s">
        <v>121</v>
      </c>
      <c r="D48" s="55"/>
      <c r="E48" s="50"/>
      <c r="F48" s="50"/>
      <c r="G48" s="44">
        <f>IF(E48="",0,MROUND(K48,VLOOKUP(E48,Precos!$B$36:$E$43,4,1)))</f>
        <v>0</v>
      </c>
      <c r="H48" s="52">
        <f t="shared" si="11"/>
        <v>0</v>
      </c>
      <c r="I48" s="46">
        <f>IF(E48="",0,VLOOKUP(E48,Precos!$B$36:$E$44,3,1))</f>
        <v>0</v>
      </c>
      <c r="J48" s="47">
        <f>IF(E48="",0,VLOOKUP(E48,Precos!$B$36:G$44,5,1))</f>
        <v>0</v>
      </c>
      <c r="K48" s="107">
        <f t="shared" si="12"/>
        <v>0</v>
      </c>
      <c r="L48" s="102">
        <f t="shared" si="13"/>
        <v>0</v>
      </c>
      <c r="M48" s="11">
        <f t="shared" si="14"/>
        <v>0</v>
      </c>
      <c r="N48" s="48">
        <f>IF(E48="",0,VLOOKUP(E48,Precos!$B$36:$K$42,10,1))</f>
        <v>0</v>
      </c>
      <c r="O48" s="72">
        <f t="shared" si="15"/>
        <v>0</v>
      </c>
    </row>
    <row r="49" spans="3:15" ht="13.5" customHeight="1">
      <c r="C49" s="108" t="s">
        <v>122</v>
      </c>
      <c r="D49" s="94" t="s">
        <v>115</v>
      </c>
      <c r="E49" s="94" t="s">
        <v>116</v>
      </c>
      <c r="F49" s="94" t="s">
        <v>139</v>
      </c>
      <c r="G49" s="94" t="s">
        <v>117</v>
      </c>
      <c r="H49" s="53" t="s">
        <v>52</v>
      </c>
      <c r="I49" s="96" t="s">
        <v>2</v>
      </c>
      <c r="J49" s="73"/>
      <c r="K49" s="97" t="s">
        <v>118</v>
      </c>
      <c r="L49" s="73" t="s">
        <v>119</v>
      </c>
      <c r="M49" s="77" t="s">
        <v>120</v>
      </c>
      <c r="N49" s="48"/>
    </row>
    <row r="50" spans="3:15">
      <c r="C50" s="109" t="s">
        <v>122</v>
      </c>
      <c r="D50" s="54">
        <v>2</v>
      </c>
      <c r="E50" s="43" t="s">
        <v>76</v>
      </c>
      <c r="F50" s="43">
        <v>0.4</v>
      </c>
      <c r="G50" s="44">
        <f>IF(E50="",0,MROUND(K50,VLOOKUP(E50,Precos!$B$45:$E$57,4,1)))</f>
        <v>95</v>
      </c>
      <c r="H50" s="45">
        <f t="shared" ref="H50:H55" si="16">I50</f>
        <v>19.5</v>
      </c>
      <c r="I50" s="46">
        <f>IF(E50="",0,VLOOKUP(E50,Precos!$B$45:$E$57,3,1))</f>
        <v>19.5</v>
      </c>
      <c r="J50" s="47">
        <f>IF(E50="",0,VLOOKUP(E50,Precos!$B$45:G$57,5,1))</f>
        <v>12.5</v>
      </c>
      <c r="K50" s="107">
        <f t="shared" ref="K50" si="17">$G$3*D50*F50</f>
        <v>96</v>
      </c>
      <c r="L50" s="102">
        <f t="shared" ref="L50:L55" si="18">G50*I50</f>
        <v>1852.5</v>
      </c>
      <c r="M50" s="11">
        <f t="shared" ref="M50:M55" si="19">G50*J50</f>
        <v>1187.5</v>
      </c>
      <c r="N50" s="48">
        <f>IF(E50="",0,VLOOKUP(E50,Precos!$B$45:$K$56,10,1))</f>
        <v>0.01</v>
      </c>
      <c r="O50" s="72">
        <f t="shared" ref="O50:O55" si="20">L50*N50</f>
        <v>18.525000000000002</v>
      </c>
    </row>
    <row r="51" spans="3:15">
      <c r="C51" s="109" t="s">
        <v>122</v>
      </c>
      <c r="D51" s="54">
        <v>1</v>
      </c>
      <c r="E51" s="43" t="s">
        <v>156</v>
      </c>
      <c r="F51" s="43">
        <v>0.5</v>
      </c>
      <c r="G51" s="44">
        <f>IF(E51="",0,MROUND(K51,VLOOKUP(E51,Precos!$B$45:$E$57,4,1)))</f>
        <v>60</v>
      </c>
      <c r="H51" s="45">
        <f t="shared" si="16"/>
        <v>19.8</v>
      </c>
      <c r="I51" s="46">
        <f>IF(E51="",0,VLOOKUP(E51,Precos!$B$45:$E$57,3,1))</f>
        <v>19.8</v>
      </c>
      <c r="J51" s="47">
        <f>IF(E51="",0,VLOOKUP(E51,Precos!$B$45:G$57,5,1))</f>
        <v>14.5</v>
      </c>
      <c r="K51" s="107">
        <f>$G$3*D51*F51</f>
        <v>60</v>
      </c>
      <c r="L51" s="102">
        <f t="shared" si="18"/>
        <v>1188</v>
      </c>
      <c r="M51" s="11">
        <f t="shared" si="19"/>
        <v>870</v>
      </c>
      <c r="N51" s="48">
        <f>IF(E51="",0,VLOOKUP(E51,Precos!$B$45:$K$56,10,1))</f>
        <v>0.01</v>
      </c>
      <c r="O51" s="72">
        <f t="shared" si="20"/>
        <v>11.88</v>
      </c>
    </row>
    <row r="52" spans="3:15">
      <c r="C52" s="109" t="s">
        <v>122</v>
      </c>
      <c r="D52" s="54">
        <v>2</v>
      </c>
      <c r="E52" s="43" t="s">
        <v>154</v>
      </c>
      <c r="F52" s="43">
        <v>0.06</v>
      </c>
      <c r="G52" s="44">
        <f>IF(E52="",0,MROUND(K52,VLOOKUP(E52,Precos!$B$45:$E$57,4,1)))</f>
        <v>14</v>
      </c>
      <c r="H52" s="45">
        <f t="shared" si="16"/>
        <v>90</v>
      </c>
      <c r="I52" s="46">
        <f>IF(E52="",0,VLOOKUP(E52,Precos!$B$45:$E$57,3,1))</f>
        <v>90</v>
      </c>
      <c r="J52" s="47">
        <f>IF(E52="",0,VLOOKUP(E52,Precos!$B$45:G$57,5,1))</f>
        <v>70</v>
      </c>
      <c r="K52" s="107">
        <f>$G$3*D52*F52</f>
        <v>14.399999999999999</v>
      </c>
      <c r="L52" s="102">
        <f t="shared" si="18"/>
        <v>1260</v>
      </c>
      <c r="M52" s="11">
        <f t="shared" si="19"/>
        <v>980</v>
      </c>
      <c r="N52" s="48">
        <f>IF(E52="",0,VLOOKUP(E52,Precos!$B$45:$K$56,10,1))</f>
        <v>4.0000000000000001E-3</v>
      </c>
      <c r="O52" s="72">
        <f t="shared" si="20"/>
        <v>5.04</v>
      </c>
    </row>
    <row r="53" spans="3:15">
      <c r="C53" s="109" t="s">
        <v>122</v>
      </c>
      <c r="D53" s="54">
        <v>1</v>
      </c>
      <c r="E53" s="43" t="s">
        <v>155</v>
      </c>
      <c r="F53" s="43">
        <v>1</v>
      </c>
      <c r="G53" s="44">
        <f>IF(E53="",0,MROUND(K53,VLOOKUP(E53,Precos!$B$45:$E$57,4,1)))</f>
        <v>120</v>
      </c>
      <c r="H53" s="45">
        <f t="shared" si="16"/>
        <v>11.8</v>
      </c>
      <c r="I53" s="46">
        <f>IF(E53="",0,VLOOKUP(E53,Precos!$B$45:$E$57,3,1))</f>
        <v>11.8</v>
      </c>
      <c r="J53" s="47">
        <f>IF(E53="",0,VLOOKUP(E53,Precos!$B$45:G$57,5,1))</f>
        <v>9</v>
      </c>
      <c r="K53" s="107">
        <f>$G$3*D53*F53</f>
        <v>120</v>
      </c>
      <c r="L53" s="102">
        <f t="shared" si="18"/>
        <v>1416</v>
      </c>
      <c r="M53" s="11">
        <f t="shared" si="19"/>
        <v>1080</v>
      </c>
      <c r="N53" s="48">
        <f>IF(E53="",0,VLOOKUP(E53,Precos!$B$45:$K$56,10,1))</f>
        <v>7.0000000000000001E-3</v>
      </c>
      <c r="O53" s="72">
        <f t="shared" si="20"/>
        <v>9.9120000000000008</v>
      </c>
    </row>
    <row r="54" spans="3:15">
      <c r="C54" s="109" t="s">
        <v>122</v>
      </c>
      <c r="D54" s="54"/>
      <c r="E54" s="43"/>
      <c r="F54" s="43"/>
      <c r="G54" s="44">
        <f>IF(E54="",0,MROUND(K54,VLOOKUP(E54,Precos!$B$45:$E$57,4,1)))</f>
        <v>0</v>
      </c>
      <c r="H54" s="45">
        <f t="shared" si="16"/>
        <v>0</v>
      </c>
      <c r="I54" s="46">
        <f>IF(E54="",0,VLOOKUP(E54,Precos!$B$45:$E$57,3,1))</f>
        <v>0</v>
      </c>
      <c r="J54" s="47">
        <f>IF(E54="",0,VLOOKUP(E54,Precos!$B$45:G$57,5,1))</f>
        <v>0</v>
      </c>
      <c r="K54" s="107">
        <f>$G$3*D54*F54</f>
        <v>0</v>
      </c>
      <c r="L54" s="102">
        <f t="shared" si="18"/>
        <v>0</v>
      </c>
      <c r="M54" s="11">
        <f t="shared" si="19"/>
        <v>0</v>
      </c>
      <c r="N54" s="48">
        <f>IF(E54="",0,VLOOKUP(E54,Precos!$B$45:$K$56,10,1))</f>
        <v>0</v>
      </c>
      <c r="O54" s="72">
        <f t="shared" si="20"/>
        <v>0</v>
      </c>
    </row>
    <row r="55" spans="3:15" ht="15.75" thickBot="1">
      <c r="C55" s="110" t="s">
        <v>122</v>
      </c>
      <c r="D55" s="55"/>
      <c r="E55" s="50"/>
      <c r="F55" s="50"/>
      <c r="G55" s="51">
        <f>IF(E55="",0,MROUND(K55,VLOOKUP(E55,Precos!$B$45:$E$57,4,1)))</f>
        <v>0</v>
      </c>
      <c r="H55" s="52">
        <f t="shared" si="16"/>
        <v>0</v>
      </c>
      <c r="I55" s="46">
        <f>IF(E55="",0,VLOOKUP(E55,Precos!$B$45:$E$57,3,1))</f>
        <v>0</v>
      </c>
      <c r="J55" s="47">
        <f>IF(E55="",0,VLOOKUP(E55,Precos!$B$45:G$57,5,1))</f>
        <v>0</v>
      </c>
      <c r="K55" s="107">
        <f>$G$3*D55*F55</f>
        <v>0</v>
      </c>
      <c r="L55" s="102">
        <f t="shared" si="18"/>
        <v>0</v>
      </c>
      <c r="M55" s="11">
        <f t="shared" si="19"/>
        <v>0</v>
      </c>
      <c r="N55" s="48">
        <f>IF(E55="",0,VLOOKUP(E55,Precos!$B$45:$K$56,10,1))</f>
        <v>0</v>
      </c>
      <c r="O55" s="72">
        <f t="shared" si="20"/>
        <v>0</v>
      </c>
    </row>
    <row r="56" spans="3:15">
      <c r="C56" s="93" t="s">
        <v>77</v>
      </c>
      <c r="D56" s="94" t="s">
        <v>115</v>
      </c>
      <c r="E56" s="94" t="s">
        <v>116</v>
      </c>
      <c r="F56" s="94" t="s">
        <v>139</v>
      </c>
      <c r="G56" s="94" t="s">
        <v>117</v>
      </c>
      <c r="H56" s="53" t="s">
        <v>52</v>
      </c>
      <c r="I56" s="96" t="s">
        <v>2</v>
      </c>
      <c r="J56" s="73"/>
      <c r="K56" s="97" t="s">
        <v>118</v>
      </c>
      <c r="L56" s="73" t="s">
        <v>119</v>
      </c>
      <c r="M56" s="77" t="s">
        <v>120</v>
      </c>
      <c r="N56" s="48"/>
    </row>
    <row r="57" spans="3:15">
      <c r="C57" s="98" t="s">
        <v>77</v>
      </c>
      <c r="D57" s="54">
        <v>1</v>
      </c>
      <c r="E57" s="43" t="s">
        <v>80</v>
      </c>
      <c r="F57" s="43">
        <v>0.5</v>
      </c>
      <c r="G57" s="44">
        <f>IF(E57="",0,MROUND(K57,VLOOKUP(E57,Precos!$B$58:$E$66,4,1)))</f>
        <v>60</v>
      </c>
      <c r="H57" s="45">
        <f t="shared" ref="H57:H62" si="21">I57</f>
        <v>17.5</v>
      </c>
      <c r="I57" s="46">
        <f>IF(E57="",0,VLOOKUP(E57,Precos!$B$58:$E$66,3,1))</f>
        <v>17.5</v>
      </c>
      <c r="J57" s="47">
        <f>IF(E57="",0,VLOOKUP(E57,Precos!$B$58:$G$66,5,1))</f>
        <v>8.5</v>
      </c>
      <c r="K57" s="107">
        <f t="shared" ref="K57:K62" si="22">$G$3*D57*F57</f>
        <v>60</v>
      </c>
      <c r="L57" s="102">
        <f t="shared" ref="L57:L62" si="23">G57*I57</f>
        <v>1050</v>
      </c>
      <c r="M57" s="11">
        <f t="shared" ref="M57:M62" si="24">G57*J57</f>
        <v>510</v>
      </c>
      <c r="N57" s="48">
        <f>IF(E57="",0,VLOOKUP(E57,Precos!$B$58:$K$66,10,1))</f>
        <v>0.01</v>
      </c>
      <c r="O57" s="72">
        <f t="shared" ref="O57:O62" si="25">L57*N57</f>
        <v>10.5</v>
      </c>
    </row>
    <row r="58" spans="3:15">
      <c r="C58" s="98" t="s">
        <v>77</v>
      </c>
      <c r="D58" s="54">
        <v>1</v>
      </c>
      <c r="E58" s="43" t="s">
        <v>166</v>
      </c>
      <c r="F58" s="43">
        <v>0.5</v>
      </c>
      <c r="G58" s="44">
        <f>IF(E58="",0,MROUND(K58,VLOOKUP(E58,Precos!$B$58:$E$66,4,1)))</f>
        <v>60</v>
      </c>
      <c r="H58" s="45">
        <f t="shared" si="21"/>
        <v>40</v>
      </c>
      <c r="I58" s="46">
        <f>IF(E58="",0,VLOOKUP(E58,Precos!$B$58:$E$66,3,1))</f>
        <v>40</v>
      </c>
      <c r="J58" s="47">
        <f>IF(E58="",0,VLOOKUP(E58,Precos!$B$58:$G$66,5,1))</f>
        <v>31</v>
      </c>
      <c r="K58" s="107">
        <f t="shared" si="22"/>
        <v>60</v>
      </c>
      <c r="L58" s="102">
        <f t="shared" si="23"/>
        <v>2400</v>
      </c>
      <c r="M58" s="11">
        <f t="shared" si="24"/>
        <v>1860</v>
      </c>
      <c r="N58" s="48">
        <f>IF(E58="",0,VLOOKUP(E58,Precos!$B$58:$K$66,10,1))</f>
        <v>7.0000000000000001E-3</v>
      </c>
      <c r="O58" s="72">
        <f t="shared" si="25"/>
        <v>16.8</v>
      </c>
    </row>
    <row r="59" spans="3:15">
      <c r="C59" s="98" t="s">
        <v>77</v>
      </c>
      <c r="D59" s="54">
        <v>1</v>
      </c>
      <c r="E59" s="43" t="s">
        <v>87</v>
      </c>
      <c r="F59" s="43">
        <v>0.5</v>
      </c>
      <c r="G59" s="44">
        <f>IF(E59="",0,MROUND(K59,VLOOKUP(E59,Precos!$B$58:$E$66,4,1)))</f>
        <v>60</v>
      </c>
      <c r="H59" s="45">
        <f t="shared" si="21"/>
        <v>42.5</v>
      </c>
      <c r="I59" s="46">
        <f>IF(E59="",0,VLOOKUP(E59,Precos!$B$58:$E$66,3,1))</f>
        <v>42.5</v>
      </c>
      <c r="J59" s="47">
        <f>IF(E59="",0,VLOOKUP(E59,Precos!$B$58:$G$66,5,1))</f>
        <v>36.5</v>
      </c>
      <c r="K59" s="107">
        <f t="shared" si="22"/>
        <v>60</v>
      </c>
      <c r="L59" s="102">
        <f t="shared" si="23"/>
        <v>2550</v>
      </c>
      <c r="M59" s="11">
        <f t="shared" si="24"/>
        <v>2190</v>
      </c>
      <c r="N59" s="48">
        <f>IF(E59="",0,VLOOKUP(E59,Precos!$B$58:$K$66,10,1))</f>
        <v>7.0000000000000001E-3</v>
      </c>
      <c r="O59" s="72">
        <f t="shared" si="25"/>
        <v>17.850000000000001</v>
      </c>
    </row>
    <row r="60" spans="3:15">
      <c r="C60" s="98" t="s">
        <v>77</v>
      </c>
      <c r="D60" s="54"/>
      <c r="E60" s="43"/>
      <c r="F60" s="43"/>
      <c r="G60" s="44">
        <f>IF(E60="",0,MROUND(K60,VLOOKUP(E60,Precos!$B$58:$E$66,4,1)))</f>
        <v>0</v>
      </c>
      <c r="H60" s="45">
        <f t="shared" si="21"/>
        <v>0</v>
      </c>
      <c r="I60" s="46">
        <f>IF(E60="",0,VLOOKUP(E60,Precos!$B$58:$E$66,3,1))</f>
        <v>0</v>
      </c>
      <c r="J60" s="47">
        <f>IF(E60="",0,VLOOKUP(E60,Precos!$B$58:$G$66,5,1))</f>
        <v>0</v>
      </c>
      <c r="K60" s="107">
        <f>$G$3*D60*F60</f>
        <v>0</v>
      </c>
      <c r="L60" s="102">
        <f t="shared" si="23"/>
        <v>0</v>
      </c>
      <c r="M60" s="11">
        <f t="shared" si="24"/>
        <v>0</v>
      </c>
      <c r="N60" s="48">
        <f>IF(E60="",0,VLOOKUP(E60,Precos!$B$58:$K$66,10,1))</f>
        <v>0</v>
      </c>
      <c r="O60" s="72">
        <f t="shared" si="25"/>
        <v>0</v>
      </c>
    </row>
    <row r="61" spans="3:15">
      <c r="C61" s="98" t="s">
        <v>77</v>
      </c>
      <c r="D61" s="54"/>
      <c r="E61" s="43"/>
      <c r="F61" s="43"/>
      <c r="G61" s="44">
        <f>IF(E61="",0,MROUND(K61,VLOOKUP(E61,Precos!$B$58:$E$66,4,1)))</f>
        <v>0</v>
      </c>
      <c r="H61" s="45">
        <f t="shared" si="21"/>
        <v>0</v>
      </c>
      <c r="I61" s="46">
        <f>IF(E61="",0,VLOOKUP(E61,Precos!$B$58:$E$66,3,1))</f>
        <v>0</v>
      </c>
      <c r="J61" s="47">
        <f>IF(E61="",0,VLOOKUP(E61,Precos!$B$58:$G$66,5,1))</f>
        <v>0</v>
      </c>
      <c r="K61" s="107">
        <f t="shared" si="22"/>
        <v>0</v>
      </c>
      <c r="L61" s="102">
        <f t="shared" si="23"/>
        <v>0</v>
      </c>
      <c r="M61" s="11">
        <f t="shared" si="24"/>
        <v>0</v>
      </c>
      <c r="N61" s="48">
        <f>IF(E61="",0,VLOOKUP(E61,Precos!$B$58:$K$66,10,1))</f>
        <v>0</v>
      </c>
      <c r="O61" s="72">
        <f t="shared" si="25"/>
        <v>0</v>
      </c>
    </row>
    <row r="62" spans="3:15" ht="15.75" thickBot="1">
      <c r="C62" s="106" t="s">
        <v>77</v>
      </c>
      <c r="D62" s="55"/>
      <c r="E62" s="50"/>
      <c r="F62" s="50"/>
      <c r="G62" s="51">
        <f>IF(E62="",0,MROUND(K62,VLOOKUP(E62,Precos!$B$58:$E$66,4,1)))</f>
        <v>0</v>
      </c>
      <c r="H62" s="52">
        <f t="shared" si="21"/>
        <v>0</v>
      </c>
      <c r="I62" s="46">
        <f>IF(E62="",0,VLOOKUP(E62,Precos!$B$58:$E$66,3,1))</f>
        <v>0</v>
      </c>
      <c r="J62" s="47">
        <f>IF(E62="",0,VLOOKUP(E62,Precos!$B$58:$G$66,5,1))</f>
        <v>0</v>
      </c>
      <c r="K62" s="107">
        <f t="shared" si="22"/>
        <v>0</v>
      </c>
      <c r="L62" s="102">
        <f t="shared" si="23"/>
        <v>0</v>
      </c>
      <c r="M62" s="11">
        <f t="shared" si="24"/>
        <v>0</v>
      </c>
      <c r="N62" s="48">
        <f>IF(E62="",0,VLOOKUP(E62,Precos!$B$58:$K$66,10,1))</f>
        <v>0</v>
      </c>
      <c r="O62" s="72">
        <f t="shared" si="25"/>
        <v>0</v>
      </c>
    </row>
    <row r="63" spans="3:15">
      <c r="C63" s="93" t="s">
        <v>123</v>
      </c>
      <c r="D63" s="94" t="s">
        <v>115</v>
      </c>
      <c r="E63" s="94" t="s">
        <v>116</v>
      </c>
      <c r="F63" s="94" t="s">
        <v>139</v>
      </c>
      <c r="G63" s="94" t="s">
        <v>117</v>
      </c>
      <c r="H63" s="53" t="s">
        <v>52</v>
      </c>
      <c r="I63" s="96" t="s">
        <v>2</v>
      </c>
      <c r="J63" s="73"/>
      <c r="K63" s="97" t="s">
        <v>118</v>
      </c>
      <c r="L63" s="73" t="s">
        <v>119</v>
      </c>
      <c r="M63" s="77" t="s">
        <v>120</v>
      </c>
      <c r="N63" s="48"/>
    </row>
    <row r="64" spans="3:15">
      <c r="C64" s="98" t="s">
        <v>123</v>
      </c>
      <c r="D64" s="54">
        <v>1</v>
      </c>
      <c r="E64" s="43" t="s">
        <v>167</v>
      </c>
      <c r="F64" s="43">
        <v>0.5</v>
      </c>
      <c r="G64" s="44">
        <f>IF(E64="",0,MROUND(K64,VLOOKUP(E64,Precos!$B$68:$E$80,4,1)))</f>
        <v>60</v>
      </c>
      <c r="H64" s="45">
        <f t="shared" ref="H64:H69" si="26">I64</f>
        <v>31.85</v>
      </c>
      <c r="I64" s="46">
        <f>IF(E64="",0,VLOOKUP(E64,Precos!$B$68:$E$80,3,1))</f>
        <v>31.85</v>
      </c>
      <c r="J64" s="47">
        <f>IF(E64="",0,VLOOKUP(E64,Precos!$B$68:$G$80,5,1))</f>
        <v>22.8</v>
      </c>
      <c r="K64" s="107">
        <f t="shared" ref="K64:K69" si="27">$G$3*D64*F64</f>
        <v>60</v>
      </c>
      <c r="L64" s="102">
        <f t="shared" ref="L64:L69" si="28">G64*I64</f>
        <v>1911</v>
      </c>
      <c r="M64" s="11">
        <f t="shared" ref="M64:M69" si="29">G64*J64</f>
        <v>1368</v>
      </c>
      <c r="N64" s="48">
        <f>IF(E64="",0,VLOOKUP(E64,Precos!$B$68:$K$80,10,1))</f>
        <v>0.04</v>
      </c>
      <c r="O64" s="72">
        <f t="shared" ref="O64:O69" si="30">L64*N64</f>
        <v>76.44</v>
      </c>
    </row>
    <row r="65" spans="3:15">
      <c r="C65" s="98" t="s">
        <v>123</v>
      </c>
      <c r="D65" s="54">
        <v>1</v>
      </c>
      <c r="E65" s="43" t="s">
        <v>91</v>
      </c>
      <c r="F65" s="43">
        <v>1</v>
      </c>
      <c r="G65" s="44">
        <f>IF(E65="",0,MROUND(K65,VLOOKUP(E65,Precos!$B$68:$E$80,4,1)))</f>
        <v>120</v>
      </c>
      <c r="H65" s="45">
        <f t="shared" si="26"/>
        <v>28.85</v>
      </c>
      <c r="I65" s="46">
        <f>IF(E65="",0,VLOOKUP(E65,Precos!$B$68:$E$80,3,1))</f>
        <v>28.85</v>
      </c>
      <c r="J65" s="47">
        <f>IF(E65="",0,VLOOKUP(E65,Precos!$B$68:$G$80,5,1))</f>
        <v>19.5</v>
      </c>
      <c r="K65" s="107">
        <f t="shared" si="27"/>
        <v>120</v>
      </c>
      <c r="L65" s="102">
        <f t="shared" si="28"/>
        <v>3462</v>
      </c>
      <c r="M65" s="11">
        <f t="shared" si="29"/>
        <v>2340</v>
      </c>
      <c r="N65" s="48">
        <f>IF(E65="",0,VLOOKUP(E65,Precos!$B$68:$K$80,10,1))</f>
        <v>0.04</v>
      </c>
      <c r="O65" s="72">
        <f t="shared" si="30"/>
        <v>138.47999999999999</v>
      </c>
    </row>
    <row r="66" spans="3:15">
      <c r="C66" s="98" t="s">
        <v>123</v>
      </c>
      <c r="D66" s="54">
        <v>3</v>
      </c>
      <c r="E66" s="43" t="s">
        <v>162</v>
      </c>
      <c r="F66" s="43">
        <v>0.05</v>
      </c>
      <c r="G66" s="44">
        <f>IF(E66="",0,MROUND(K66,VLOOKUP(E66,Precos!$B$68:$E$80,4,1)))</f>
        <v>18</v>
      </c>
      <c r="H66" s="45">
        <f t="shared" si="26"/>
        <v>22</v>
      </c>
      <c r="I66" s="46">
        <f>IF(E66="",0,VLOOKUP(E66,Precos!$B$68:$E$80,3,1))</f>
        <v>22</v>
      </c>
      <c r="J66" s="47">
        <f>IF(E66="",0,VLOOKUP(E66,Precos!$B$68:$G$80,5,1))</f>
        <v>15.5</v>
      </c>
      <c r="K66" s="107">
        <f t="shared" si="27"/>
        <v>18</v>
      </c>
      <c r="L66" s="102">
        <f t="shared" si="28"/>
        <v>396</v>
      </c>
      <c r="M66" s="11">
        <f t="shared" si="29"/>
        <v>279</v>
      </c>
      <c r="N66" s="48">
        <f>IF(E66="",0,VLOOKUP(E66,Precos!$B$68:$K$80,10,1))</f>
        <v>0.04</v>
      </c>
      <c r="O66" s="72">
        <f t="shared" si="30"/>
        <v>15.84</v>
      </c>
    </row>
    <row r="67" spans="3:15">
      <c r="C67" s="98" t="s">
        <v>123</v>
      </c>
      <c r="D67" s="54"/>
      <c r="E67" s="43"/>
      <c r="F67" s="43"/>
      <c r="G67" s="44">
        <f>IF(E67="",0,MROUND(K67,VLOOKUP(E67,Precos!$B$68:$E$80,4,1)))</f>
        <v>0</v>
      </c>
      <c r="H67" s="45">
        <f t="shared" si="26"/>
        <v>0</v>
      </c>
      <c r="I67" s="46">
        <f>IF(E67="",0,VLOOKUP(E67,Precos!$B$68:$E$80,3,1))</f>
        <v>0</v>
      </c>
      <c r="J67" s="47">
        <f>IF(E67="",0,VLOOKUP(E67,Precos!$B$68:$G$80,5,1))</f>
        <v>0</v>
      </c>
      <c r="K67" s="107">
        <f t="shared" si="27"/>
        <v>0</v>
      </c>
      <c r="L67" s="102">
        <f t="shared" si="28"/>
        <v>0</v>
      </c>
      <c r="M67" s="11">
        <f t="shared" si="29"/>
        <v>0</v>
      </c>
      <c r="N67" s="48">
        <f>IF(E67="",0,VLOOKUP(E67,Precos!$B$68:$K$80,10,1))</f>
        <v>0</v>
      </c>
      <c r="O67" s="72">
        <f t="shared" si="30"/>
        <v>0</v>
      </c>
    </row>
    <row r="68" spans="3:15">
      <c r="C68" s="98" t="s">
        <v>123</v>
      </c>
      <c r="D68" s="54"/>
      <c r="E68" s="43"/>
      <c r="F68" s="43"/>
      <c r="G68" s="44">
        <f>IF(E68="",0,MROUND(K68,VLOOKUP(E68,Precos!$B$68:$E$80,4,1)))</f>
        <v>0</v>
      </c>
      <c r="H68" s="45">
        <f t="shared" si="26"/>
        <v>0</v>
      </c>
      <c r="I68" s="46">
        <f>IF(E68="",0,VLOOKUP(E68,Precos!$B$68:$E$80,3,1))</f>
        <v>0</v>
      </c>
      <c r="J68" s="47">
        <f>IF(E68="",0,VLOOKUP(E68,Precos!$B$68:$G$80,5,1))</f>
        <v>0</v>
      </c>
      <c r="K68" s="107">
        <f t="shared" si="27"/>
        <v>0</v>
      </c>
      <c r="L68" s="102">
        <f t="shared" si="28"/>
        <v>0</v>
      </c>
      <c r="M68" s="11">
        <f t="shared" si="29"/>
        <v>0</v>
      </c>
      <c r="N68" s="48">
        <f>IF(E68="",0,VLOOKUP(E68,Precos!$B$68:$K$80,10,1))</f>
        <v>0</v>
      </c>
      <c r="O68" s="72">
        <f t="shared" si="30"/>
        <v>0</v>
      </c>
    </row>
    <row r="69" spans="3:15" ht="15.75" thickBot="1">
      <c r="C69" s="106" t="s">
        <v>123</v>
      </c>
      <c r="D69" s="55"/>
      <c r="E69" s="50"/>
      <c r="F69" s="50"/>
      <c r="G69" s="51">
        <f>IF(E69="",0,MROUND(K69,VLOOKUP(E69,Precos!$B$68:$E$80,4,1)))</f>
        <v>0</v>
      </c>
      <c r="H69" s="52">
        <f t="shared" si="26"/>
        <v>0</v>
      </c>
      <c r="I69" s="46">
        <f>IF(E69="",0,VLOOKUP(E69,Precos!$B$68:$E$80,3,1))</f>
        <v>0</v>
      </c>
      <c r="J69" s="47">
        <f>IF(E69="",0,VLOOKUP(E69,Precos!$B$68:$G$80,5,1))</f>
        <v>0</v>
      </c>
      <c r="K69" s="107">
        <f t="shared" si="27"/>
        <v>0</v>
      </c>
      <c r="L69" s="102">
        <f t="shared" si="28"/>
        <v>0</v>
      </c>
      <c r="M69" s="11">
        <f t="shared" si="29"/>
        <v>0</v>
      </c>
      <c r="N69" s="48">
        <f>IF(E69="",0,VLOOKUP(E69,Precos!$B$68:$K$80,10,1))</f>
        <v>0</v>
      </c>
      <c r="O69" s="72">
        <f t="shared" si="30"/>
        <v>0</v>
      </c>
    </row>
    <row r="71" spans="3:15" hidden="1">
      <c r="G71" s="72">
        <f>COUNTIF($G$64:$G$69,"&gt;0")</f>
        <v>3</v>
      </c>
    </row>
  </sheetData>
  <sheetProtection algorithmName="SHA-512" hashValue="oIlCUrvKroplfUPgWbPz6lccf34oaKGzkLxMo2cDrkclGgvdllEKOCGD7F2pnSt72alF0hPl5widGE0Dz5Y6xQ==" saltValue="eVkf8mbONx9rfUOHv6plqQ==" spinCount="100000" sheet="1" selectLockedCells="1"/>
  <mergeCells count="4">
    <mergeCell ref="H4:H5"/>
    <mergeCell ref="D3:E7"/>
    <mergeCell ref="C3:C7"/>
    <mergeCell ref="H6:H7"/>
  </mergeCells>
  <dataValidations count="1">
    <dataValidation type="list" allowBlank="1" showInputMessage="1" showErrorMessage="1" sqref="H3" xr:uid="{00000000-0002-0000-0300-000000000000}">
      <formula1>$G$8:$H$8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8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operator="equal" allowBlank="1" showErrorMessage="1" xr:uid="{00000000-0002-0000-0300-000003000000}">
          <x14:formula1>
            <xm:f>Precos!$B$68:$B$80</xm:f>
          </x14:formula1>
          <x14:formula2>
            <xm:f>0</xm:f>
          </x14:formula2>
          <xm:sqref>E64:E69</xm:sqref>
        </x14:dataValidation>
        <x14:dataValidation type="list" operator="equal" allowBlank="1" showErrorMessage="1" xr:uid="{00000000-0002-0000-0300-000004000000}">
          <x14:formula1>
            <xm:f>Precos!$B$58:$B$67</xm:f>
          </x14:formula1>
          <x14:formula2>
            <xm:f>0</xm:f>
          </x14:formula2>
          <xm:sqref>E57:E62</xm:sqref>
        </x14:dataValidation>
        <x14:dataValidation type="list" operator="equal" allowBlank="1" showErrorMessage="1" xr:uid="{00000000-0002-0000-0300-000001000000}">
          <x14:formula1>
            <xm:f>Sementes!$A$1:$A$36</xm:f>
          </x14:formula1>
          <x14:formula2>
            <xm:f>0</xm:f>
          </x14:formula2>
          <xm:sqref>E20:E22</xm:sqref>
        </x14:dataValidation>
        <x14:dataValidation type="list" operator="equal" allowBlank="1" showErrorMessage="1" xr:uid="{9EF0DAE4-6B42-43E4-BF42-59DDBEF0A7D7}">
          <x14:formula1>
            <xm:f>Precos!$B$2:$B$4</xm:f>
          </x14:formula1>
          <xm:sqref>E24:E29</xm:sqref>
        </x14:dataValidation>
        <x14:dataValidation type="list" operator="equal" allowBlank="1" showErrorMessage="1" xr:uid="{00000000-0002-0000-0300-000002000000}">
          <x14:formula1>
            <xm:f>Precos!$B$25:$B$34</xm:f>
          </x14:formula1>
          <x14:formula2>
            <xm:f>0</xm:f>
          </x14:formula2>
          <xm:sqref>E36:E41</xm:sqref>
        </x14:dataValidation>
        <x14:dataValidation type="list" operator="equal" allowBlank="1" showErrorMessage="1" xr:uid="{00000000-0002-0000-0300-000006000000}">
          <x14:formula1>
            <xm:f>Precos!$B$36:$B$44</xm:f>
          </x14:formula1>
          <x14:formula2>
            <xm:f>0</xm:f>
          </x14:formula2>
          <xm:sqref>E43:E48</xm:sqref>
        </x14:dataValidation>
        <x14:dataValidation type="list" operator="equal" allowBlank="1" showErrorMessage="1" xr:uid="{00000000-0002-0000-0300-000005000000}">
          <x14:formula1>
            <xm:f>Precos!$B$45:$B$57</xm:f>
          </x14:formula1>
          <x14:formula2>
            <xm:f>0</xm:f>
          </x14:formula2>
          <xm:sqref>E50:E55</xm:sqref>
        </x14:dataValidation>
        <x14:dataValidation type="list" allowBlank="1" showInputMessage="1" showErrorMessage="1" xr:uid="{2A768166-F0B2-49A1-BC26-3B1064B08654}">
          <x14:formula1>
            <xm:f>Precos!$B$6:$B$23</xm:f>
          </x14:formula1>
          <xm:sqref>E31:E34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2309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Fertilizante</vt:lpstr>
      <vt:lpstr>Sementes</vt:lpstr>
      <vt:lpstr>Precos</vt:lpstr>
      <vt:lpstr>Pacote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Fertipar Fertilizantes do Paraná Ltda</dc:creator>
  <dc:description/>
  <cp:lastModifiedBy>Thiago Fregolão</cp:lastModifiedBy>
  <cp:revision>46</cp:revision>
  <cp:lastPrinted>2024-01-23T17:25:12Z</cp:lastPrinted>
  <dcterms:created xsi:type="dcterms:W3CDTF">2011-09-06T11:17:49Z</dcterms:created>
  <dcterms:modified xsi:type="dcterms:W3CDTF">2025-01-31T17:22:53Z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